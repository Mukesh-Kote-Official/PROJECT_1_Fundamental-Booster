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kes\OneDrive\Desktop\EXCEL_PROJECT\"/>
    </mc:Choice>
  </mc:AlternateContent>
  <xr:revisionPtr revIDLastSave="0" documentId="13_ncr:1_{29D61D2D-AA21-400D-BEBD-F7D0649BCF81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roject Instructions" sheetId="1" r:id="rId1"/>
    <sheet name="Students Grade" sheetId="2" r:id="rId2"/>
    <sheet name="Sales Data" sheetId="3" r:id="rId3"/>
    <sheet name="Employee Data" sheetId="4" r:id="rId4"/>
  </sheets>
  <definedNames>
    <definedName name="_xlnm._FilterDatabase" localSheetId="3" hidden="1">'Employee Data'!$A$24:$B$31</definedName>
    <definedName name="_xlnm._FilterDatabase" localSheetId="2" hidden="1">'Sales Data'!$A$24:$B$32</definedName>
    <definedName name="_xlnm._FilterDatabase" localSheetId="1" hidden="1">'Students Grade'!$A$1:$N$21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4" l="1"/>
  <c r="A42" i="2" a="1"/>
  <c r="B38" i="4"/>
  <c r="G2" i="2"/>
  <c r="B36" i="2"/>
  <c r="B34" i="2"/>
  <c r="B36" i="4"/>
  <c r="B26" i="4"/>
  <c r="B2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B36" i="3"/>
  <c r="B38" i="3"/>
  <c r="B37" i="3"/>
  <c r="B32" i="3"/>
  <c r="B31" i="3"/>
  <c r="B30" i="3"/>
  <c r="B29" i="3"/>
  <c r="B28" i="3"/>
  <c r="B27" i="3"/>
  <c r="B26" i="3"/>
  <c r="B2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B48" i="4"/>
  <c r="B47" i="4"/>
  <c r="B46" i="4"/>
  <c r="B43" i="4"/>
  <c r="B41" i="4"/>
  <c r="B37" i="4"/>
  <c r="B31" i="4"/>
  <c r="B30" i="4"/>
  <c r="B29" i="4"/>
  <c r="B28" i="4"/>
  <c r="B27" i="4"/>
  <c r="B39" i="3"/>
  <c r="B35" i="2"/>
  <c r="B28" i="2"/>
  <c r="B27" i="2"/>
  <c r="B26" i="2"/>
  <c r="B25" i="2"/>
  <c r="N21" i="2"/>
  <c r="M21" i="2"/>
  <c r="L21" i="2"/>
  <c r="K21" i="2"/>
  <c r="J21" i="2"/>
  <c r="G21" i="2"/>
  <c r="N20" i="2"/>
  <c r="M20" i="2"/>
  <c r="L20" i="2"/>
  <c r="K20" i="2"/>
  <c r="J20" i="2"/>
  <c r="G20" i="2"/>
  <c r="N19" i="2"/>
  <c r="M19" i="2"/>
  <c r="L19" i="2"/>
  <c r="K19" i="2"/>
  <c r="J19" i="2"/>
  <c r="G19" i="2"/>
  <c r="N18" i="2"/>
  <c r="M18" i="2"/>
  <c r="L18" i="2"/>
  <c r="K18" i="2"/>
  <c r="J18" i="2"/>
  <c r="G18" i="2"/>
  <c r="N17" i="2"/>
  <c r="M17" i="2"/>
  <c r="L17" i="2"/>
  <c r="K17" i="2"/>
  <c r="J17" i="2"/>
  <c r="G17" i="2"/>
  <c r="N16" i="2"/>
  <c r="M16" i="2"/>
  <c r="L16" i="2"/>
  <c r="K16" i="2"/>
  <c r="J16" i="2"/>
  <c r="G16" i="2"/>
  <c r="N15" i="2"/>
  <c r="M15" i="2"/>
  <c r="L15" i="2"/>
  <c r="K15" i="2"/>
  <c r="J15" i="2"/>
  <c r="G15" i="2"/>
  <c r="N14" i="2"/>
  <c r="M14" i="2"/>
  <c r="L14" i="2"/>
  <c r="K14" i="2"/>
  <c r="J14" i="2"/>
  <c r="G14" i="2"/>
  <c r="N13" i="2"/>
  <c r="M13" i="2"/>
  <c r="L13" i="2"/>
  <c r="K13" i="2"/>
  <c r="J13" i="2"/>
  <c r="G13" i="2"/>
  <c r="N12" i="2"/>
  <c r="M12" i="2"/>
  <c r="L12" i="2"/>
  <c r="K12" i="2"/>
  <c r="J12" i="2"/>
  <c r="G12" i="2"/>
  <c r="N11" i="2"/>
  <c r="M11" i="2"/>
  <c r="L11" i="2"/>
  <c r="K11" i="2"/>
  <c r="J11" i="2"/>
  <c r="G11" i="2"/>
  <c r="N10" i="2"/>
  <c r="M10" i="2"/>
  <c r="L10" i="2"/>
  <c r="K10" i="2"/>
  <c r="J10" i="2"/>
  <c r="G10" i="2"/>
  <c r="N9" i="2"/>
  <c r="M9" i="2"/>
  <c r="L9" i="2"/>
  <c r="K9" i="2"/>
  <c r="J9" i="2"/>
  <c r="G9" i="2"/>
  <c r="N8" i="2"/>
  <c r="M8" i="2"/>
  <c r="L8" i="2"/>
  <c r="K8" i="2"/>
  <c r="J8" i="2"/>
  <c r="G8" i="2"/>
  <c r="N7" i="2"/>
  <c r="M7" i="2"/>
  <c r="L7" i="2"/>
  <c r="K7" i="2"/>
  <c r="J7" i="2"/>
  <c r="G7" i="2"/>
  <c r="N6" i="2"/>
  <c r="M6" i="2"/>
  <c r="L6" i="2"/>
  <c r="K6" i="2"/>
  <c r="J6" i="2"/>
  <c r="G6" i="2"/>
  <c r="N5" i="2"/>
  <c r="M5" i="2"/>
  <c r="L5" i="2"/>
  <c r="K5" i="2"/>
  <c r="J5" i="2"/>
  <c r="G5" i="2"/>
  <c r="N4" i="2"/>
  <c r="M4" i="2"/>
  <c r="L4" i="2"/>
  <c r="K4" i="2"/>
  <c r="J4" i="2"/>
  <c r="G4" i="2"/>
  <c r="N3" i="2"/>
  <c r="M3" i="2"/>
  <c r="L3" i="2"/>
  <c r="K3" i="2"/>
  <c r="J3" i="2"/>
  <c r="G3" i="2"/>
  <c r="N2" i="2"/>
  <c r="M2" i="2"/>
  <c r="L2" i="2"/>
  <c r="K2" i="2"/>
  <c r="J2" i="2"/>
  <c r="A42" i="2" l="1"/>
  <c r="H20" i="2"/>
  <c r="I20" i="2"/>
  <c r="I11" i="2"/>
  <c r="H11" i="2"/>
  <c r="I21" i="2"/>
  <c r="H21" i="2"/>
  <c r="I19" i="2"/>
  <c r="H19" i="2"/>
  <c r="I18" i="2"/>
  <c r="H18" i="2"/>
  <c r="I17" i="2"/>
  <c r="H17" i="2"/>
  <c r="I16" i="2"/>
  <c r="H16" i="2"/>
  <c r="I15" i="2"/>
  <c r="H15" i="2"/>
  <c r="H14" i="2"/>
  <c r="I14" i="2"/>
  <c r="I13" i="2"/>
  <c r="H13" i="2"/>
  <c r="I12" i="2"/>
  <c r="H12" i="2"/>
  <c r="I10" i="2"/>
  <c r="H10" i="2"/>
  <c r="I9" i="2"/>
  <c r="H9" i="2"/>
  <c r="I8" i="2"/>
  <c r="H8" i="2"/>
  <c r="I7" i="2"/>
  <c r="H7" i="2"/>
  <c r="I6" i="2"/>
  <c r="H6" i="2"/>
  <c r="I5" i="2"/>
  <c r="H5" i="2"/>
  <c r="H4" i="2"/>
  <c r="I4" i="2"/>
  <c r="H3" i="2"/>
  <c r="I3" i="2"/>
  <c r="I2" i="2"/>
  <c r="H2" i="2"/>
  <c r="B30" i="2" l="1"/>
  <c r="B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<sst xmlns="http://schemas.openxmlformats.org/spreadsheetml/2006/main" count="269" uniqueCount="209">
  <si>
    <t>PR. 1 Fundamental Booster</t>
  </si>
  <si>
    <t>Essential Tasks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</si>
  <si>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</si>
  <si>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</si>
  <si>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</si>
  <si>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Using IF Formula &amp; Nesting IF Formulas</t>
  </si>
  <si>
    <t>Classify students' grades based on their scores.</t>
  </si>
  <si>
    <t>Compute discounts for sales based on price thresholds.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</si>
  <si>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</si>
  <si>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</si>
  <si>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</si>
  <si>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</si>
  <si>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</si>
  <si>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</si>
  <si>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</si>
  <si>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</si>
  <si>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</si>
  <si>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</si>
  <si>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</si>
  <si>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</si>
  <si>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>Look up employee details dynamically without column restrictions.</t>
  </si>
  <si>
    <t>Excel TEXT Functions</t>
  </si>
  <si>
    <t>Extract the first name from full names using LEFT and FIND.</t>
  </si>
  <si>
    <t>Convert names to uppercase/lowercase using UPPER(), LOWER().</t>
  </si>
  <si>
    <t>XLOOKUP Function</t>
  </si>
  <si>
    <t>Search for salesperson performance based on flexible search criteria.</t>
  </si>
  <si>
    <t>Find employee salaries without worrying about sorted data.</t>
  </si>
  <si>
    <t>XMATCH Function</t>
  </si>
  <si>
    <t>Find the position of a product in a sales list.</t>
  </si>
  <si>
    <t>INDIRECT Function</t>
  </si>
  <si>
    <t>Dynamically reference a cell range using INDIRECT.</t>
  </si>
  <si>
    <t>OFFSET Function</t>
  </si>
  <si>
    <t>Create dynamic ranges for sales trends.</t>
  </si>
  <si>
    <t>Date and Time Functions</t>
  </si>
  <si>
    <t>Calculate age from date of birth.</t>
  </si>
  <si>
    <t>Find the difference in days between two dates.</t>
  </si>
  <si>
    <t>Math Functions</t>
  </si>
  <si>
    <t>Use ROUND(), CEILING(), and FLOOR() for financial calculations.</t>
  </si>
  <si>
    <t>Return Multiple Values using FILTER Function</t>
  </si>
  <si>
    <t>Extract a list of top-performing students based on scores.</t>
  </si>
  <si>
    <t>Student ID</t>
  </si>
  <si>
    <t>Name</t>
  </si>
  <si>
    <t>Math</t>
  </si>
  <si>
    <t>Science</t>
  </si>
  <si>
    <t>English</t>
  </si>
  <si>
    <t>Enrollment Date</t>
  </si>
  <si>
    <t>Average Score</t>
  </si>
  <si>
    <t>Grade (IF)</t>
  </si>
  <si>
    <t>Pass/Fail (IF)</t>
  </si>
  <si>
    <t>Both Math&amp;Sci&gt;80 (AND)</t>
  </si>
  <si>
    <t>Discount Eligible (OR)</t>
  </si>
  <si>
    <t>First Name</t>
  </si>
  <si>
    <t>Name UPPER</t>
  </si>
  <si>
    <t>Enrollment Year</t>
  </si>
  <si>
    <t>Summary Statistics</t>
  </si>
  <si>
    <t>Count: Math &gt; 60</t>
  </si>
  <si>
    <t>Count: Both sub &gt; 50</t>
  </si>
  <si>
    <t>Avg Score (Math) &gt; 60</t>
  </si>
  <si>
    <t>Sum Math scores (Sci&gt;70)</t>
  </si>
  <si>
    <t>Count: Grade = A</t>
  </si>
  <si>
    <t>Count: Passed</t>
  </si>
  <si>
    <t>VLOOKUP Demo</t>
  </si>
  <si>
    <t>Enter Student ID:</t>
  </si>
  <si>
    <t>Student Name (VLOOKUP):</t>
  </si>
  <si>
    <t>Math Score (INDEX/MATCH):</t>
  </si>
  <si>
    <t>Name (XLOOKUP):</t>
  </si>
  <si>
    <t>FILTER: Students with Avg Score &gt; 80</t>
  </si>
  <si>
    <t>Average</t>
  </si>
  <si>
    <t>Grade</t>
  </si>
  <si>
    <t>Sales ID</t>
  </si>
  <si>
    <t>Product</t>
  </si>
  <si>
    <t>Region</t>
  </si>
  <si>
    <t>Salesperson</t>
  </si>
  <si>
    <t>Amount</t>
  </si>
  <si>
    <t>Date</t>
  </si>
  <si>
    <t>Discount? (IF/OR)</t>
  </si>
  <si>
    <t>Sale Month</t>
  </si>
  <si>
    <t>Sale Year</t>
  </si>
  <si>
    <t>Amount Category</t>
  </si>
  <si>
    <t>Amount Rounded ($)</t>
  </si>
  <si>
    <t>South</t>
  </si>
  <si>
    <t>Printer</t>
  </si>
  <si>
    <t>West</t>
  </si>
  <si>
    <t>East</t>
  </si>
  <si>
    <t>North</t>
  </si>
  <si>
    <t>Monitor</t>
  </si>
  <si>
    <t>Laptop</t>
  </si>
  <si>
    <t>Sales Summary (COUNTIFS / SUMIFS / AVERAGEIFS)</t>
  </si>
  <si>
    <t>Total Sales (all)</t>
  </si>
  <si>
    <t>Total Sales – East Region</t>
  </si>
  <si>
    <t>Total Sales – Keyboard</t>
  </si>
  <si>
    <t>Avg Sale – North Region</t>
  </si>
  <si>
    <t>Count – Monitor sales</t>
  </si>
  <si>
    <t>Count – Sales &gt; 30,000</t>
  </si>
  <si>
    <t>Max Sale Amount</t>
  </si>
  <si>
    <t>Min Sale Amount</t>
  </si>
  <si>
    <t>Lookup Demo</t>
  </si>
  <si>
    <t>Enter Sales ID:</t>
  </si>
  <si>
    <t>Product (VLOOKUP):</t>
  </si>
  <si>
    <t>Amount (XLOOKUP):</t>
  </si>
  <si>
    <t>Row Position (XMATCH):</t>
  </si>
  <si>
    <t>Salesperson (INDEX/MATCH):</t>
  </si>
  <si>
    <t>Employee ID</t>
  </si>
  <si>
    <t>Department</t>
  </si>
  <si>
    <t>Salary</t>
  </si>
  <si>
    <t>Joining Date</t>
  </si>
  <si>
    <t>Years of Service</t>
  </si>
  <si>
    <t>Joining Year</t>
  </si>
  <si>
    <t>Salary Band</t>
  </si>
  <si>
    <t>First Name (LEFT)</t>
  </si>
  <si>
    <t>Name LOWER</t>
  </si>
  <si>
    <t>Annual Bonus (10%)</t>
  </si>
  <si>
    <t>Finance</t>
  </si>
  <si>
    <t>HR</t>
  </si>
  <si>
    <t>IT</t>
  </si>
  <si>
    <t>Marketing</t>
  </si>
  <si>
    <t>Employee Summary (COUNTIFS / SUMIFS / AVERAGEIFS)</t>
  </si>
  <si>
    <t>Total Salary (all)</t>
  </si>
  <si>
    <t>Avg Salary – IT Dept</t>
  </si>
  <si>
    <t>Count – Finance Dept</t>
  </si>
  <si>
    <t>Total Salary – HR</t>
  </si>
  <si>
    <t>Count – Salary &gt; 100,000</t>
  </si>
  <si>
    <t>Max Salary</t>
  </si>
  <si>
    <t>Min Salary</t>
  </si>
  <si>
    <t>Enter Employee ID:</t>
  </si>
  <si>
    <t>Employee Name (XLOOKUP):</t>
  </si>
  <si>
    <t>Department (INDEX/MATCH):</t>
  </si>
  <si>
    <t>Salary (VLOOKUP):</t>
  </si>
  <si>
    <t>INDIRECT Demo (cell ref via text):</t>
  </si>
  <si>
    <t>D5</t>
  </si>
  <si>
    <t>Value via INDIRECT:</t>
  </si>
  <si>
    <t>OFFSET Demo (D2 offset 4 rows):</t>
  </si>
  <si>
    <t>Math Functions Demo</t>
  </si>
  <si>
    <t>ROUND avg salary to 1000s</t>
  </si>
  <si>
    <t>CEILING avg salary to 5000</t>
  </si>
  <si>
    <t>FLOOR avg salary to 5000</t>
  </si>
  <si>
    <t>Tablet</t>
  </si>
  <si>
    <t>Headphones</t>
  </si>
  <si>
    <t>Camera</t>
  </si>
  <si>
    <t>Speaker</t>
  </si>
  <si>
    <t>Aarav Mehta</t>
  </si>
  <si>
    <t>Kavya Sharma</t>
  </si>
  <si>
    <t>Rohan Patel</t>
  </si>
  <si>
    <t>Neha Verma</t>
  </si>
  <si>
    <t>Aditya Singh</t>
  </si>
  <si>
    <t>Priya Nair</t>
  </si>
  <si>
    <t>Rahul Joshi</t>
  </si>
  <si>
    <t>Sneha Kapoor</t>
  </si>
  <si>
    <t>Vikram Desai</t>
  </si>
  <si>
    <t>Ananya Shah</t>
  </si>
  <si>
    <t>Karan Malhotra</t>
  </si>
  <si>
    <t>Meera Iyer</t>
  </si>
  <si>
    <t>Arjun Rao</t>
  </si>
  <si>
    <t>Pooja Chawla</t>
  </si>
  <si>
    <t>Dev Khanna</t>
  </si>
  <si>
    <t>Simran Gill</t>
  </si>
  <si>
    <t>Yash Tiwari</t>
  </si>
  <si>
    <t>Ritika Soni</t>
  </si>
  <si>
    <t>Manav Batra</t>
  </si>
  <si>
    <t>Ishita Arora</t>
  </si>
  <si>
    <t>Aarav Shah</t>
  </si>
  <si>
    <t>Priya Patel</t>
  </si>
  <si>
    <t>Rohan Mehta</t>
  </si>
  <si>
    <t>Sneha Joshi</t>
  </si>
  <si>
    <t>Karan Verma</t>
  </si>
  <si>
    <t>Ananya Singh</t>
  </si>
  <si>
    <t>Rahul Nair</t>
  </si>
  <si>
    <t>Meera Kapoor</t>
  </si>
  <si>
    <t>Dev Malhotra</t>
  </si>
  <si>
    <t>Pooja Sharma</t>
  </si>
  <si>
    <t>Kavya Iyer</t>
  </si>
  <si>
    <t>Aditya Khanna</t>
  </si>
  <si>
    <t>Neha Chawla</t>
  </si>
  <si>
    <t>Aarav Patel</t>
  </si>
  <si>
    <t>Priya Sharma</t>
  </si>
  <si>
    <t>Sneha Verma</t>
  </si>
  <si>
    <t>Karan Joshi</t>
  </si>
  <si>
    <t>Rahul Singh</t>
  </si>
  <si>
    <t>Neha Desai</t>
  </si>
  <si>
    <t>Vikram Patel</t>
  </si>
  <si>
    <t>Pooja Mehta</t>
  </si>
  <si>
    <t>Yash Kumar</t>
  </si>
  <si>
    <t>Isha Trivedi</t>
  </si>
  <si>
    <t>Manav Shah</t>
  </si>
  <si>
    <t>Kavya Patel</t>
  </si>
  <si>
    <t>Aditya Sharma</t>
  </si>
  <si>
    <t>Nidhi Joshi</t>
  </si>
  <si>
    <t>Raj Mehta</t>
  </si>
  <si>
    <t>Simran Kaur</t>
  </si>
  <si>
    <t>Dev Patel</t>
  </si>
  <si>
    <t>Riya Singh</t>
  </si>
  <si>
    <t>Topics:</t>
  </si>
  <si>
    <t>- Relative &amp; Absolute References, Formatting, Data Input</t>
  </si>
  <si>
    <t>- IF Formulas, Nested IFs, IF with AND/OR</t>
  </si>
  <si>
    <t>- COUNTIFS, SUMIFS, AVERAGEIFS</t>
  </si>
  <si>
    <t>- Lookup Functions (VLOOKUP, XLOOKUP, XMATCH)</t>
  </si>
  <si>
    <t>- INDEX/MATCH for dynamic searches</t>
  </si>
  <si>
    <t>- TEXT Functions for string manipulations</t>
  </si>
  <si>
    <t>- INDIRECT and OFFSET for dynamic references</t>
  </si>
  <si>
    <t>- Date/Time, Math Functions, FILTER function</t>
  </si>
  <si>
    <t>Main Tasks:</t>
  </si>
  <si>
    <t>1. Apply IF formulas to classify student grades.</t>
  </si>
  <si>
    <t>2. Use COUNTIFS to count students scoring above 60.</t>
  </si>
  <si>
    <t>3. Use VLOOKUP to find a product price from sales data.</t>
  </si>
  <si>
    <t>4. Apply XLOOKUP to fetch employee salaries dynamically.</t>
  </si>
  <si>
    <t>5. Format and analyze date of joining in Employee data.</t>
  </si>
  <si>
    <t>6. Use FILTER function to extract students with grades above 80.</t>
  </si>
  <si>
    <t>Deliverable:</t>
  </si>
  <si>
    <t>Complete the given worksheets by applying the required formulas in respective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</si>
</sst>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0.0"/>
    <numFmt numFmtId="165" formatCode="\₹#,##0"/>
  </numFmts>
  <fonts count="15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375623"/>
      <name val="Arial"/>
      <charset val="1"/>
    </font>
    <font>
      <sz val="10"/>
      <color rgb="FF0000FF"/>
      <name val="Arial"/>
      <charset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8761D"/>
      <name val="Calibri"/>
      <family val="2"/>
    </font>
    <font>
      <sz val="11"/>
      <color rgb="FF38761D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D6E4F7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theme="8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AAAAAA"/>
      </bottom>
      <diagonal/>
    </border>
  </borders>
  <cellStyleXfs count="2">
    <xf numFmtId="0" fontId="0" fillId="0" borderId="0"/>
    <xf numFmtId="0" fontId="6" fillId="8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2" fontId="4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8" borderId="0" xfId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9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6" fillId="8" borderId="7" xfId="1" applyBorder="1" applyAlignment="1">
      <alignment horizontal="center" vertical="center" wrapText="1"/>
    </xf>
    <xf numFmtId="0" fontId="6" fillId="8" borderId="8" xfId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6" fontId="10" fillId="0" borderId="1" xfId="0" applyNumberFormat="1" applyFont="1" applyBorder="1" applyAlignment="1">
      <alignment horizontal="center" vertical="center" wrapText="1"/>
    </xf>
    <xf numFmtId="22" fontId="1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6" fontId="10" fillId="0" borderId="11" xfId="0" applyNumberFormat="1" applyFont="1" applyBorder="1" applyAlignment="1">
      <alignment horizontal="center" vertical="center" wrapText="1"/>
    </xf>
    <xf numFmtId="22" fontId="10" fillId="0" borderId="11" xfId="0" applyNumberFormat="1" applyFont="1" applyBorder="1" applyAlignment="1">
      <alignment horizontal="center" vertical="center" wrapText="1"/>
    </xf>
    <xf numFmtId="164" fontId="14" fillId="0" borderId="11" xfId="0" applyNumberFormat="1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5" fontId="1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14" fontId="10" fillId="0" borderId="1" xfId="0" applyNumberFormat="1" applyFont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</cellXfs>
  <cellStyles count="2">
    <cellStyle name="Accent5" xfId="1" builtinId="45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\₹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:mm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\₹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:mm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₹&quot;\ #,##0;[Red]&quot;₹&quot;\ \-#,##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453E2B-8BD8-4EDA-8D39-F2862C4AFC66}" name="Table5" displayName="Table5" ref="A1:N21" totalsRowShown="0" headerRowDxfId="32" dataDxfId="30" headerRowBorderDxfId="31" tableBorderDxfId="29" totalsRowBorderDxfId="28">
  <autoFilter ref="A1:N21" xr:uid="{00000000-0001-0000-0100-000000000000}"/>
  <tableColumns count="14">
    <tableColumn id="1" xr3:uid="{6F044C6D-4E26-4747-B692-5987F9E9A9FD}" name="Student ID" dataDxfId="27"/>
    <tableColumn id="2" xr3:uid="{DD558A8F-ECD8-4F68-B565-71AA203F0F58}" name="Name" dataDxfId="26"/>
    <tableColumn id="3" xr3:uid="{253B2519-C14C-4A7A-9AC7-49C2DC76FA04}" name="Math" dataDxfId="25"/>
    <tableColumn id="4" xr3:uid="{A3CE08E9-2CFA-4060-8842-0E92B3607F1F}" name="Science" dataDxfId="24"/>
    <tableColumn id="5" xr3:uid="{43741B7F-67BF-41E9-81E8-D90DC7DA15E6}" name="English" dataDxfId="23"/>
    <tableColumn id="6" xr3:uid="{20385FD6-83D5-46BC-B869-2B25C51E6241}" name="Enrollment Date" dataDxfId="22"/>
    <tableColumn id="7" xr3:uid="{E40F7257-3588-424A-95E4-0BA2FBEE1376}" name="Average Score" dataDxfId="21">
      <calculatedColumnFormula>AVERAGE(C2:E2)</calculatedColumnFormula>
    </tableColumn>
    <tableColumn id="8" xr3:uid="{1AD0BF0D-258D-4993-903D-1B80ACD01F3A}" name="Grade (IF)" dataDxfId="20">
      <calculatedColumnFormula>IF(G2&gt;=90,"A",IF(G2&gt;=75,"B",IF(G2&gt;=60,"C",IF(G2&gt;=45,"D","F"))))</calculatedColumnFormula>
    </tableColumn>
    <tableColumn id="9" xr3:uid="{226E46C5-7CC7-4762-8A16-610F4D30DA59}" name="Pass/Fail (IF)" dataDxfId="19">
      <calculatedColumnFormula>IF(G2&gt;=50,"Pass","Fail")</calculatedColumnFormula>
    </tableColumn>
    <tableColumn id="10" xr3:uid="{CE09A26F-C3F3-4905-BB22-530C5EE38F4F}" name="Both Math&amp;Sci&gt;80 (AND)" dataDxfId="18">
      <calculatedColumnFormula>IF(AND(C2&gt;80,D2&gt;80),"Yes","No")</calculatedColumnFormula>
    </tableColumn>
    <tableColumn id="11" xr3:uid="{10785C91-D96D-4EC8-BE23-3B613C3FA5C7}" name="Discount Eligible (OR)" dataDxfId="17">
      <calculatedColumnFormula>IF(OR(C2&gt;90,D2&gt;90,E2&gt;90),"Eligible","Not Eligible")</calculatedColumnFormula>
    </tableColumn>
    <tableColumn id="12" xr3:uid="{1E38F6AF-E6DC-4A1C-97D3-05A99A15EDD5}" name="First Name" dataDxfId="16">
      <calculatedColumnFormula>LEFT(B2,FIND(" ",B2)-1)</calculatedColumnFormula>
    </tableColumn>
    <tableColumn id="13" xr3:uid="{3609D71D-B726-4587-B5CC-C70EE07405B4}" name="Name UPPER" dataDxfId="15">
      <calculatedColumnFormula>UPPER(B2)</calculatedColumnFormula>
    </tableColumn>
    <tableColumn id="14" xr3:uid="{39193EF3-9618-4D7C-86DC-CF9CE45FDFCA}" name="Enrollment Year" dataDxfId="14">
      <calculatedColumnFormula>YEAR(F2)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6B499-454F-4710-B598-ECFF416F239C}" name="Table2" displayName="Table2" ref="A1:K21" totalsRowShown="0" headerRowDxfId="13" dataDxfId="12" tableBorderDxfId="11">
  <autoFilter ref="A1:K21" xr:uid="{2EA6B499-454F-4710-B598-ECFF416F239C}"/>
  <tableColumns count="11">
    <tableColumn id="1" xr3:uid="{1161F8B7-6F0C-4D43-B462-533E701373C4}" name="Sales ID" dataDxfId="10"/>
    <tableColumn id="2" xr3:uid="{175C0F34-F28F-4365-B5C9-A1CEEA4E0CEB}" name="Product" dataDxfId="9"/>
    <tableColumn id="3" xr3:uid="{AC590176-6F85-4810-9F4E-A1F886320028}" name="Region" dataDxfId="8"/>
    <tableColumn id="4" xr3:uid="{4FA72DAA-2B1A-4269-B87A-F4A32A3CBB93}" name="Salesperson" dataDxfId="7"/>
    <tableColumn id="5" xr3:uid="{07931019-4947-4433-A68A-18E357C8C43D}" name="Amount" dataDxfId="6"/>
    <tableColumn id="6" xr3:uid="{3C469118-AE56-4A18-898B-129CAF2E8C6E}" name="Date" dataDxfId="5"/>
    <tableColumn id="7" xr3:uid="{893D92BC-8256-401A-90BC-54125F7D4466}" name="Discount? (IF/OR)" dataDxfId="4">
      <calculatedColumnFormula>IF(OR(E2&gt;30000,B2="Laptop"),"Yes","No")</calculatedColumnFormula>
    </tableColumn>
    <tableColumn id="8" xr3:uid="{43B9E61A-884F-4F3A-B6EB-F834E955E5F5}" name="Sale Month" dataDxfId="3">
      <calculatedColumnFormula>TEXT(F2,"MMM-YYYY")</calculatedColumnFormula>
    </tableColumn>
    <tableColumn id="9" xr3:uid="{4B4B6FE7-C4F3-43DB-9A05-0E68B19E10BE}" name="Sale Year" dataDxfId="2">
      <calculatedColumnFormula>YEAR(F2)</calculatedColumnFormula>
    </tableColumn>
    <tableColumn id="10" xr3:uid="{39B10BB6-F025-47AF-B8DE-52920F50A6CA}" name="Amount Category" dataDxfId="1">
      <calculatedColumnFormula>IF(E2&gt;=40000,"High",IF(E2&gt;=20000,"Medium","Low"))</calculatedColumnFormula>
    </tableColumn>
    <tableColumn id="11" xr3:uid="{900A0A98-B3AD-4C89-AA58-10D7461BA7D3}" name="Amount Rounded ($)" dataDxfId="0">
      <calculatedColumnFormula>ROUND(E2,-2)</calculatedColumnFormula>
    </tableColumn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9EFA1-34BA-4DAE-86C0-9FCD4C7179B2}" name="Table1" displayName="Table1" ref="A1:L21" totalsRowShown="0" headerRowDxfId="49" dataDxfId="47" headerRowBorderDxfId="48" tableBorderDxfId="46" totalsRowBorderDxfId="45">
  <autoFilter ref="A1:L21" xr:uid="{00000000-0001-0000-0300-000000000000}"/>
  <tableColumns count="12">
    <tableColumn id="1" xr3:uid="{1CC1F803-38EE-44D0-81D1-2AE348899A83}" name="Employee ID" dataDxfId="44"/>
    <tableColumn id="2" xr3:uid="{4DC269DB-9749-4057-B218-AA4E59298221}" name="Name" dataDxfId="43"/>
    <tableColumn id="3" xr3:uid="{63B6E069-CF30-4FF7-A36A-156F826C53DD}" name="Department" dataDxfId="42"/>
    <tableColumn id="4" xr3:uid="{727CFFFD-5C86-4A25-9911-2B1FCD043178}" name="Salary" dataDxfId="41"/>
    <tableColumn id="5" xr3:uid="{D7B72F57-5AE2-40DA-9F1B-E2C1632CC002}" name="Joining Date" dataDxfId="40"/>
    <tableColumn id="6" xr3:uid="{78005413-5B09-4FAC-846E-9D203FE248A3}" name="Years of Service" dataDxfId="39">
      <calculatedColumnFormula>ROUND((TODAY()-E2)/365.25,1)</calculatedColumnFormula>
    </tableColumn>
    <tableColumn id="7" xr3:uid="{EAA87DF0-A867-45D5-B40E-E0D04537B9C8}" name="Joining Year" dataDxfId="38">
      <calculatedColumnFormula>YEAR(E2)</calculatedColumnFormula>
    </tableColumn>
    <tableColumn id="8" xr3:uid="{B08590AD-5A0E-420C-B4DD-E6A9D852ED14}" name="Salary Band" dataDxfId="37">
      <calculatedColumnFormula>IF(D2&gt;=100000,"Senior",IF(D2&gt;=60000,"Mid-Level","Junior"))</calculatedColumnFormula>
    </tableColumn>
    <tableColumn id="9" xr3:uid="{8CDE274E-E9E6-4BC3-B004-904F0D4213DE}" name="First Name (LEFT)" dataDxfId="36">
      <calculatedColumnFormula>LEFT(B2,FIND(" ",B2)-1)</calculatedColumnFormula>
    </tableColumn>
    <tableColumn id="10" xr3:uid="{E0591821-48FD-4A9A-B947-EFDC0D03AEAA}" name="Name UPPER" dataDxfId="35">
      <calculatedColumnFormula>UPPER(B2)</calculatedColumnFormula>
    </tableColumn>
    <tableColumn id="11" xr3:uid="{2C115C49-53E0-43B8-92EF-44A39FCCCDDE}" name="Name LOWER" dataDxfId="34">
      <calculatedColumnFormula>LOWER(B2)</calculatedColumnFormula>
    </tableColumn>
    <tableColumn id="12" xr3:uid="{49B8B87C-39EE-45F1-96E3-C43C5D16760B}" name="Annual Bonus (10%)" dataDxfId="33">
      <calculatedColumnFormula>D2*0.1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7"/>
  <sheetViews>
    <sheetView topLeftCell="A25" zoomScaleNormal="100" workbookViewId="0"/>
  </sheetViews>
  <sheetFormatPr defaultColWidth="14.44140625" defaultRowHeight="14.4" x14ac:dyDescent="0.3"/>
  <cols>
    <col min="1" max="1" width="75.44140625" customWidth="1"/>
  </cols>
  <sheetData>
    <row r="1" spans="1:1" ht="15" customHeight="1" thickBot="1" x14ac:dyDescent="0.35">
      <c r="A1" s="20" t="s">
        <v>0</v>
      </c>
    </row>
    <row r="2" spans="1:1" ht="15" customHeight="1" x14ac:dyDescent="0.3">
      <c r="A2" s="16" t="s">
        <v>191</v>
      </c>
    </row>
    <row r="3" spans="1:1" ht="15" customHeight="1" x14ac:dyDescent="0.3">
      <c r="A3" s="17" t="s">
        <v>192</v>
      </c>
    </row>
    <row r="4" spans="1:1" ht="15" customHeight="1" x14ac:dyDescent="0.3">
      <c r="A4" s="17" t="s">
        <v>193</v>
      </c>
    </row>
    <row r="5" spans="1:1" ht="15" customHeight="1" x14ac:dyDescent="0.3">
      <c r="A5" s="17" t="s">
        <v>194</v>
      </c>
    </row>
    <row r="6" spans="1:1" ht="15" customHeight="1" x14ac:dyDescent="0.3">
      <c r="A6" s="17" t="s">
        <v>195</v>
      </c>
    </row>
    <row r="7" spans="1:1" ht="15" customHeight="1" x14ac:dyDescent="0.3">
      <c r="A7" s="17" t="s">
        <v>196</v>
      </c>
    </row>
    <row r="8" spans="1:1" ht="15" customHeight="1" x14ac:dyDescent="0.3">
      <c r="A8" s="17" t="s">
        <v>197</v>
      </c>
    </row>
    <row r="9" spans="1:1" ht="15" customHeight="1" x14ac:dyDescent="0.3">
      <c r="A9" s="17" t="s">
        <v>198</v>
      </c>
    </row>
    <row r="10" spans="1:1" ht="15" customHeight="1" x14ac:dyDescent="0.3">
      <c r="A10" s="17" t="s">
        <v>199</v>
      </c>
    </row>
    <row r="11" spans="1:1" ht="15" customHeight="1" x14ac:dyDescent="0.3"/>
    <row r="12" spans="1:1" ht="15" customHeight="1" x14ac:dyDescent="0.3">
      <c r="A12" s="18" t="s">
        <v>200</v>
      </c>
    </row>
    <row r="13" spans="1:1" ht="15" customHeight="1" x14ac:dyDescent="0.3">
      <c r="A13" s="19" t="s">
        <v>201</v>
      </c>
    </row>
    <row r="14" spans="1:1" ht="15" customHeight="1" x14ac:dyDescent="0.3">
      <c r="A14" s="19" t="s">
        <v>202</v>
      </c>
    </row>
    <row r="15" spans="1:1" ht="15" customHeight="1" x14ac:dyDescent="0.3">
      <c r="A15" s="19" t="s">
        <v>203</v>
      </c>
    </row>
    <row r="16" spans="1:1" ht="15" customHeight="1" x14ac:dyDescent="0.3">
      <c r="A16" s="19" t="s">
        <v>204</v>
      </c>
    </row>
    <row r="17" spans="1:1" ht="15" customHeight="1" x14ac:dyDescent="0.3">
      <c r="A17" s="19" t="s">
        <v>205</v>
      </c>
    </row>
    <row r="18" spans="1:1" ht="15" customHeight="1" x14ac:dyDescent="0.3">
      <c r="A18" s="19" t="s">
        <v>206</v>
      </c>
    </row>
    <row r="19" spans="1:1" ht="15" customHeight="1" x14ac:dyDescent="0.3"/>
    <row r="20" spans="1:1" ht="15" customHeight="1" x14ac:dyDescent="0.3">
      <c r="A20" s="16" t="s">
        <v>207</v>
      </c>
    </row>
    <row r="21" spans="1:1" ht="15" customHeight="1" x14ac:dyDescent="0.3">
      <c r="A21" s="17" t="s">
        <v>208</v>
      </c>
    </row>
    <row r="22" spans="1:1" ht="15" customHeight="1" x14ac:dyDescent="0.3"/>
    <row r="23" spans="1:1" ht="15" customHeight="1" thickBot="1" x14ac:dyDescent="0.35"/>
    <row r="24" spans="1:1" ht="15" customHeight="1" thickBot="1" x14ac:dyDescent="0.35">
      <c r="A24" s="20" t="s">
        <v>1</v>
      </c>
    </row>
    <row r="25" spans="1:1" ht="15" customHeight="1" thickBot="1" x14ac:dyDescent="0.35">
      <c r="A25" s="21" t="s">
        <v>2</v>
      </c>
    </row>
    <row r="26" spans="1:1" ht="15" customHeight="1" thickBot="1" x14ac:dyDescent="0.35">
      <c r="A26" s="22" t="s">
        <v>3</v>
      </c>
    </row>
    <row r="27" spans="1:1" ht="15" customHeight="1" thickBot="1" x14ac:dyDescent="0.35">
      <c r="A27" s="22" t="s">
        <v>4</v>
      </c>
    </row>
    <row r="28" spans="1:1" ht="15" customHeight="1" thickBot="1" x14ac:dyDescent="0.35">
      <c r="A28" s="22"/>
    </row>
    <row r="29" spans="1:1" ht="15" customHeight="1" thickBot="1" x14ac:dyDescent="0.35">
      <c r="A29" s="21" t="s">
        <v>5</v>
      </c>
    </row>
    <row r="30" spans="1:1" ht="15" customHeight="1" thickBot="1" x14ac:dyDescent="0.35">
      <c r="A30" s="22" t="s">
        <v>6</v>
      </c>
    </row>
    <row r="31" spans="1:1" ht="15" customHeight="1" thickBot="1" x14ac:dyDescent="0.35">
      <c r="A31" s="22" t="s">
        <v>7</v>
      </c>
    </row>
    <row r="32" spans="1:1" ht="15" customHeight="1" thickBot="1" x14ac:dyDescent="0.35">
      <c r="A32" s="22"/>
    </row>
    <row r="33" spans="1:1" ht="15" customHeight="1" thickBot="1" x14ac:dyDescent="0.35">
      <c r="A33" s="21" t="s">
        <v>8</v>
      </c>
    </row>
    <row r="34" spans="1:1" ht="15" customHeight="1" thickBot="1" x14ac:dyDescent="0.35">
      <c r="A34" s="22" t="s">
        <v>9</v>
      </c>
    </row>
    <row r="35" spans="1:1" ht="15" customHeight="1" thickBot="1" x14ac:dyDescent="0.35">
      <c r="A35" s="22" t="s">
        <v>10</v>
      </c>
    </row>
    <row r="36" spans="1:1" ht="15" customHeight="1" thickBot="1" x14ac:dyDescent="0.35">
      <c r="A36" s="22"/>
    </row>
    <row r="37" spans="1:1" ht="15" customHeight="1" thickBot="1" x14ac:dyDescent="0.35">
      <c r="A37" s="21" t="s">
        <v>11</v>
      </c>
    </row>
    <row r="38" spans="1:1" ht="15" customHeight="1" thickBot="1" x14ac:dyDescent="0.35">
      <c r="A38" s="22" t="s">
        <v>12</v>
      </c>
    </row>
    <row r="39" spans="1:1" ht="15" customHeight="1" thickBot="1" x14ac:dyDescent="0.35">
      <c r="A39" s="22" t="s">
        <v>13</v>
      </c>
    </row>
    <row r="40" spans="1:1" ht="15" customHeight="1" thickBot="1" x14ac:dyDescent="0.35">
      <c r="A40" s="22" t="s">
        <v>14</v>
      </c>
    </row>
    <row r="41" spans="1:1" ht="15" customHeight="1" thickBot="1" x14ac:dyDescent="0.35">
      <c r="A41" s="22"/>
    </row>
    <row r="42" spans="1:1" ht="15" customHeight="1" thickBot="1" x14ac:dyDescent="0.35">
      <c r="A42" s="21" t="s">
        <v>15</v>
      </c>
    </row>
    <row r="43" spans="1:1" ht="15" customHeight="1" thickBot="1" x14ac:dyDescent="0.35">
      <c r="A43" s="22" t="s">
        <v>16</v>
      </c>
    </row>
    <row r="44" spans="1:1" ht="15" customHeight="1" thickBot="1" x14ac:dyDescent="0.35">
      <c r="A44" s="22" t="s">
        <v>17</v>
      </c>
    </row>
    <row r="45" spans="1:1" ht="15" customHeight="1" thickBot="1" x14ac:dyDescent="0.35">
      <c r="A45" s="22"/>
    </row>
    <row r="46" spans="1:1" ht="15" customHeight="1" thickBot="1" x14ac:dyDescent="0.35">
      <c r="A46" s="21" t="s">
        <v>18</v>
      </c>
    </row>
    <row r="47" spans="1:1" ht="15" customHeight="1" thickBot="1" x14ac:dyDescent="0.35">
      <c r="A47" s="22" t="s">
        <v>19</v>
      </c>
    </row>
    <row r="48" spans="1:1" ht="15" customHeight="1" thickBot="1" x14ac:dyDescent="0.35">
      <c r="A48" s="22" t="s">
        <v>20</v>
      </c>
    </row>
    <row r="49" spans="1:1" ht="15" customHeight="1" thickBot="1" x14ac:dyDescent="0.35">
      <c r="A49" s="22"/>
    </row>
    <row r="50" spans="1:1" ht="15" customHeight="1" thickBot="1" x14ac:dyDescent="0.35">
      <c r="A50" s="21" t="s">
        <v>21</v>
      </c>
    </row>
    <row r="51" spans="1:1" ht="15" customHeight="1" thickBot="1" x14ac:dyDescent="0.35">
      <c r="A51" s="22" t="s">
        <v>22</v>
      </c>
    </row>
    <row r="52" spans="1:1" ht="15" customHeight="1" thickBot="1" x14ac:dyDescent="0.35">
      <c r="A52" s="22" t="s">
        <v>23</v>
      </c>
    </row>
    <row r="53" spans="1:1" ht="15" customHeight="1" thickBot="1" x14ac:dyDescent="0.35">
      <c r="A53" s="22"/>
    </row>
    <row r="54" spans="1:1" ht="15" customHeight="1" thickBot="1" x14ac:dyDescent="0.35">
      <c r="A54" s="21" t="s">
        <v>24</v>
      </c>
    </row>
    <row r="55" spans="1:1" ht="15" customHeight="1" thickBot="1" x14ac:dyDescent="0.35">
      <c r="A55" s="22" t="s">
        <v>25</v>
      </c>
    </row>
    <row r="56" spans="1:1" ht="15" customHeight="1" thickBot="1" x14ac:dyDescent="0.35">
      <c r="A56" s="22" t="s">
        <v>26</v>
      </c>
    </row>
    <row r="57" spans="1:1" ht="15" customHeight="1" thickBot="1" x14ac:dyDescent="0.35">
      <c r="A57" s="22"/>
    </row>
    <row r="58" spans="1:1" ht="15" customHeight="1" thickBot="1" x14ac:dyDescent="0.35">
      <c r="A58" s="21" t="s">
        <v>27</v>
      </c>
    </row>
    <row r="59" spans="1:1" ht="15" customHeight="1" thickBot="1" x14ac:dyDescent="0.35">
      <c r="A59" s="22" t="s">
        <v>28</v>
      </c>
    </row>
    <row r="60" spans="1:1" ht="15" customHeight="1" thickBot="1" x14ac:dyDescent="0.35">
      <c r="A60" s="22"/>
    </row>
    <row r="61" spans="1:1" ht="15" customHeight="1" thickBot="1" x14ac:dyDescent="0.35">
      <c r="A61" s="21" t="s">
        <v>29</v>
      </c>
    </row>
    <row r="62" spans="1:1" ht="15" customHeight="1" thickBot="1" x14ac:dyDescent="0.35">
      <c r="A62" s="22" t="s">
        <v>30</v>
      </c>
    </row>
    <row r="63" spans="1:1" ht="15" customHeight="1" thickBot="1" x14ac:dyDescent="0.35">
      <c r="A63" s="22"/>
    </row>
    <row r="64" spans="1:1" ht="15" customHeight="1" thickBot="1" x14ac:dyDescent="0.35">
      <c r="A64" s="21" t="s">
        <v>31</v>
      </c>
    </row>
    <row r="65" spans="1:1" ht="15" customHeight="1" thickBot="1" x14ac:dyDescent="0.35">
      <c r="A65" s="22" t="s">
        <v>32</v>
      </c>
    </row>
    <row r="66" spans="1:1" ht="15" customHeight="1" thickBot="1" x14ac:dyDescent="0.35">
      <c r="A66" s="22"/>
    </row>
    <row r="67" spans="1:1" ht="15" customHeight="1" thickBot="1" x14ac:dyDescent="0.35">
      <c r="A67" s="21" t="s">
        <v>33</v>
      </c>
    </row>
    <row r="68" spans="1:1" ht="15" customHeight="1" thickBot="1" x14ac:dyDescent="0.35">
      <c r="A68" s="22" t="s">
        <v>34</v>
      </c>
    </row>
    <row r="69" spans="1:1" ht="15" customHeight="1" thickBot="1" x14ac:dyDescent="0.35">
      <c r="A69" s="22" t="s">
        <v>35</v>
      </c>
    </row>
    <row r="70" spans="1:1" ht="15" customHeight="1" thickBot="1" x14ac:dyDescent="0.35">
      <c r="A70" s="22"/>
    </row>
    <row r="71" spans="1:1" ht="15" customHeight="1" thickBot="1" x14ac:dyDescent="0.35">
      <c r="A71" s="21" t="s">
        <v>36</v>
      </c>
    </row>
    <row r="72" spans="1:1" ht="15" customHeight="1" thickBot="1" x14ac:dyDescent="0.35">
      <c r="A72" s="22" t="s">
        <v>37</v>
      </c>
    </row>
    <row r="73" spans="1:1" ht="15" customHeight="1" thickBot="1" x14ac:dyDescent="0.35">
      <c r="A73" s="22"/>
    </row>
    <row r="74" spans="1:1" ht="15" customHeight="1" thickBot="1" x14ac:dyDescent="0.35">
      <c r="A74" s="21" t="s">
        <v>38</v>
      </c>
    </row>
    <row r="75" spans="1:1" ht="15" customHeight="1" thickBot="1" x14ac:dyDescent="0.35">
      <c r="A75" s="22" t="s">
        <v>39</v>
      </c>
    </row>
    <row r="76" spans="1:1" ht="15" customHeight="1" x14ac:dyDescent="0.3"/>
    <row r="77" spans="1:1" ht="15" customHeight="1" x14ac:dyDescent="0.3"/>
    <row r="78" spans="1:1" ht="15" customHeight="1" x14ac:dyDescent="0.3"/>
    <row r="79" spans="1:1" ht="15" customHeight="1" x14ac:dyDescent="0.3"/>
    <row r="80" spans="1: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61" zoomScale="91" zoomScaleNormal="100" workbookViewId="0">
      <selection activeCell="C23" sqref="C23"/>
    </sheetView>
  </sheetViews>
  <sheetFormatPr defaultColWidth="14.44140625" defaultRowHeight="14.4" x14ac:dyDescent="0.3"/>
  <cols>
    <col min="1" max="2" width="40" customWidth="1"/>
    <col min="3" max="3" width="22.77734375" customWidth="1"/>
    <col min="4" max="4" width="20.33203125" customWidth="1"/>
    <col min="5" max="5" width="15.77734375" customWidth="1"/>
    <col min="6" max="6" width="33.109375" customWidth="1"/>
    <col min="7" max="9" width="22" customWidth="1"/>
    <col min="10" max="10" width="27" customWidth="1"/>
    <col min="11" max="11" width="24" customWidth="1"/>
    <col min="12" max="26" width="22" customWidth="1"/>
  </cols>
  <sheetData>
    <row r="1" spans="1:26" ht="15" customHeight="1" x14ac:dyDescent="0.3">
      <c r="A1" s="25" t="s">
        <v>40</v>
      </c>
      <c r="B1" s="26" t="s">
        <v>41</v>
      </c>
      <c r="C1" s="26" t="s">
        <v>42</v>
      </c>
      <c r="D1" s="26" t="s">
        <v>43</v>
      </c>
      <c r="E1" s="26" t="s">
        <v>44</v>
      </c>
      <c r="F1" s="26" t="s">
        <v>45</v>
      </c>
      <c r="G1" s="27" t="s">
        <v>46</v>
      </c>
      <c r="H1" s="27" t="s">
        <v>47</v>
      </c>
      <c r="I1" s="27" t="s">
        <v>48</v>
      </c>
      <c r="J1" s="27" t="s">
        <v>49</v>
      </c>
      <c r="K1" s="27" t="s">
        <v>50</v>
      </c>
      <c r="L1" s="27" t="s">
        <v>51</v>
      </c>
      <c r="M1" s="27" t="s">
        <v>52</v>
      </c>
      <c r="N1" s="28" t="s">
        <v>53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29">
        <v>2001</v>
      </c>
      <c r="B2" s="30" t="s">
        <v>160</v>
      </c>
      <c r="C2" s="30">
        <v>88</v>
      </c>
      <c r="D2" s="30">
        <v>76</v>
      </c>
      <c r="E2" s="30">
        <v>91</v>
      </c>
      <c r="F2" s="46">
        <v>43507</v>
      </c>
      <c r="G2" s="33">
        <f>AVERAGE(C2:E2)</f>
        <v>85</v>
      </c>
      <c r="H2" s="35" t="str">
        <f t="shared" ref="H2:H21" si="0">IF(G2&gt;=90,"A",IF(G2&gt;=75,"B",IF(G2&gt;=60,"C",IF(G2&gt;=45,"D","F"))))</f>
        <v>B</v>
      </c>
      <c r="I2" s="35" t="str">
        <f t="shared" ref="I2:I21" si="1">IF(G2&gt;=50,"Pass","Fail")</f>
        <v>Pass</v>
      </c>
      <c r="J2" s="35" t="str">
        <f t="shared" ref="J2:J21" si="2">IF(AND(C2&gt;80,D2&gt;80),"Yes","No")</f>
        <v>No</v>
      </c>
      <c r="K2" s="35" t="str">
        <f t="shared" ref="K2:K21" si="3">IF(OR(C2&gt;90,D2&gt;90,E2&gt;90),"Eligible","Not Eligible")</f>
        <v>Eligible</v>
      </c>
      <c r="L2" s="35" t="str">
        <f t="shared" ref="L2:L21" si="4">LEFT(B2,FIND(" ",B2)-1)</f>
        <v>Aarav</v>
      </c>
      <c r="M2" s="35" t="str">
        <f t="shared" ref="M2:M21" si="5">UPPER(B2)</f>
        <v>AARAV SHAH</v>
      </c>
      <c r="N2" s="47">
        <f t="shared" ref="N2:N21" si="6">YEAR(F2)</f>
        <v>2019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29">
        <v>2002</v>
      </c>
      <c r="B3" s="30" t="s">
        <v>161</v>
      </c>
      <c r="C3" s="30">
        <v>72</v>
      </c>
      <c r="D3" s="30">
        <v>81</v>
      </c>
      <c r="E3" s="30">
        <v>67</v>
      </c>
      <c r="F3" s="46">
        <v>43695</v>
      </c>
      <c r="G3" s="33">
        <f t="shared" ref="G3:G21" si="7">AVERAGE(C3:E3)</f>
        <v>73.333333333333329</v>
      </c>
      <c r="H3" s="35" t="str">
        <f t="shared" si="0"/>
        <v>C</v>
      </c>
      <c r="I3" s="35" t="str">
        <f t="shared" si="1"/>
        <v>Pass</v>
      </c>
      <c r="J3" s="35" t="str">
        <f t="shared" si="2"/>
        <v>No</v>
      </c>
      <c r="K3" s="35" t="str">
        <f t="shared" si="3"/>
        <v>Not Eligible</v>
      </c>
      <c r="L3" s="35" t="str">
        <f t="shared" si="4"/>
        <v>Priya</v>
      </c>
      <c r="M3" s="35" t="str">
        <f t="shared" si="5"/>
        <v>PRIYA PATEL</v>
      </c>
      <c r="N3" s="47">
        <f t="shared" si="6"/>
        <v>2019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29">
        <v>2003</v>
      </c>
      <c r="B4" s="30" t="s">
        <v>162</v>
      </c>
      <c r="C4" s="30">
        <v>95</v>
      </c>
      <c r="D4" s="30">
        <v>69</v>
      </c>
      <c r="E4" s="30">
        <v>74</v>
      </c>
      <c r="F4" s="46">
        <v>43854</v>
      </c>
      <c r="G4" s="33">
        <f t="shared" si="7"/>
        <v>79.333333333333329</v>
      </c>
      <c r="H4" s="35" t="str">
        <f t="shared" si="0"/>
        <v>B</v>
      </c>
      <c r="I4" s="35" t="str">
        <f t="shared" si="1"/>
        <v>Pass</v>
      </c>
      <c r="J4" s="35" t="str">
        <f t="shared" si="2"/>
        <v>No</v>
      </c>
      <c r="K4" s="35" t="str">
        <f t="shared" si="3"/>
        <v>Eligible</v>
      </c>
      <c r="L4" s="35" t="str">
        <f t="shared" si="4"/>
        <v>Rohan</v>
      </c>
      <c r="M4" s="35" t="str">
        <f t="shared" si="5"/>
        <v>ROHAN MEHTA</v>
      </c>
      <c r="N4" s="47">
        <f t="shared" si="6"/>
        <v>2020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29">
        <v>2004</v>
      </c>
      <c r="B5" s="30" t="s">
        <v>163</v>
      </c>
      <c r="C5" s="30">
        <v>64</v>
      </c>
      <c r="D5" s="30">
        <v>73</v>
      </c>
      <c r="E5" s="30">
        <v>85</v>
      </c>
      <c r="F5" s="46">
        <v>44042</v>
      </c>
      <c r="G5" s="33">
        <f t="shared" si="7"/>
        <v>74</v>
      </c>
      <c r="H5" s="35" t="str">
        <f t="shared" si="0"/>
        <v>C</v>
      </c>
      <c r="I5" s="35" t="str">
        <f t="shared" si="1"/>
        <v>Pass</v>
      </c>
      <c r="J5" s="35" t="str">
        <f t="shared" si="2"/>
        <v>No</v>
      </c>
      <c r="K5" s="35" t="str">
        <f t="shared" si="3"/>
        <v>Not Eligible</v>
      </c>
      <c r="L5" s="35" t="str">
        <f t="shared" si="4"/>
        <v>Sneha</v>
      </c>
      <c r="M5" s="35" t="str">
        <f t="shared" si="5"/>
        <v>SNEHA JOSHI</v>
      </c>
      <c r="N5" s="47">
        <f t="shared" si="6"/>
        <v>2020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29">
        <v>2005</v>
      </c>
      <c r="B6" s="30" t="s">
        <v>164</v>
      </c>
      <c r="C6" s="30">
        <v>79</v>
      </c>
      <c r="D6" s="30">
        <v>88</v>
      </c>
      <c r="E6" s="30">
        <v>70</v>
      </c>
      <c r="F6" s="46">
        <v>44232</v>
      </c>
      <c r="G6" s="33">
        <f t="shared" si="7"/>
        <v>79</v>
      </c>
      <c r="H6" s="35" t="str">
        <f t="shared" si="0"/>
        <v>B</v>
      </c>
      <c r="I6" s="35" t="str">
        <f t="shared" si="1"/>
        <v>Pass</v>
      </c>
      <c r="J6" s="35" t="str">
        <f t="shared" si="2"/>
        <v>No</v>
      </c>
      <c r="K6" s="35" t="str">
        <f t="shared" si="3"/>
        <v>Not Eligible</v>
      </c>
      <c r="L6" s="35" t="str">
        <f t="shared" si="4"/>
        <v>Karan</v>
      </c>
      <c r="M6" s="35" t="str">
        <f t="shared" si="5"/>
        <v>KARAN VERMA</v>
      </c>
      <c r="N6" s="47">
        <f t="shared" si="6"/>
        <v>2021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29">
        <v>2006</v>
      </c>
      <c r="B7" s="30" t="s">
        <v>165</v>
      </c>
      <c r="C7" s="30">
        <v>91</v>
      </c>
      <c r="D7" s="30">
        <v>84</v>
      </c>
      <c r="E7" s="30">
        <v>89</v>
      </c>
      <c r="F7" s="46">
        <v>44420</v>
      </c>
      <c r="G7" s="33">
        <f t="shared" si="7"/>
        <v>88</v>
      </c>
      <c r="H7" s="35" t="str">
        <f t="shared" si="0"/>
        <v>B</v>
      </c>
      <c r="I7" s="35" t="str">
        <f t="shared" si="1"/>
        <v>Pass</v>
      </c>
      <c r="J7" s="35" t="str">
        <f t="shared" si="2"/>
        <v>Yes</v>
      </c>
      <c r="K7" s="35" t="str">
        <f t="shared" si="3"/>
        <v>Eligible</v>
      </c>
      <c r="L7" s="35" t="str">
        <f t="shared" si="4"/>
        <v>Ananya</v>
      </c>
      <c r="M7" s="35" t="str">
        <f t="shared" si="5"/>
        <v>ANANYA SINGH</v>
      </c>
      <c r="N7" s="47">
        <f t="shared" si="6"/>
        <v>2021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29">
        <v>2007</v>
      </c>
      <c r="B8" s="30" t="s">
        <v>166</v>
      </c>
      <c r="C8" s="30">
        <v>58</v>
      </c>
      <c r="D8" s="30">
        <v>66</v>
      </c>
      <c r="E8" s="30">
        <v>72</v>
      </c>
      <c r="F8" s="46">
        <v>44578</v>
      </c>
      <c r="G8" s="33">
        <f t="shared" si="7"/>
        <v>65.333333333333329</v>
      </c>
      <c r="H8" s="35" t="str">
        <f t="shared" si="0"/>
        <v>C</v>
      </c>
      <c r="I8" s="35" t="str">
        <f t="shared" si="1"/>
        <v>Pass</v>
      </c>
      <c r="J8" s="35" t="str">
        <f t="shared" si="2"/>
        <v>No</v>
      </c>
      <c r="K8" s="35" t="str">
        <f t="shared" si="3"/>
        <v>Not Eligible</v>
      </c>
      <c r="L8" s="35" t="str">
        <f t="shared" si="4"/>
        <v>Rahul</v>
      </c>
      <c r="M8" s="35" t="str">
        <f t="shared" si="5"/>
        <v>RAHUL NAIR</v>
      </c>
      <c r="N8" s="47">
        <f t="shared" si="6"/>
        <v>2022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29">
        <v>2008</v>
      </c>
      <c r="B9" s="30" t="s">
        <v>167</v>
      </c>
      <c r="C9" s="30">
        <v>87</v>
      </c>
      <c r="D9" s="30">
        <v>92</v>
      </c>
      <c r="E9" s="30">
        <v>80</v>
      </c>
      <c r="F9" s="46">
        <v>44767</v>
      </c>
      <c r="G9" s="33">
        <f t="shared" si="7"/>
        <v>86.333333333333329</v>
      </c>
      <c r="H9" s="35" t="str">
        <f t="shared" si="0"/>
        <v>B</v>
      </c>
      <c r="I9" s="35" t="str">
        <f t="shared" si="1"/>
        <v>Pass</v>
      </c>
      <c r="J9" s="35" t="str">
        <f t="shared" si="2"/>
        <v>Yes</v>
      </c>
      <c r="K9" s="35" t="str">
        <f t="shared" si="3"/>
        <v>Eligible</v>
      </c>
      <c r="L9" s="35" t="str">
        <f t="shared" si="4"/>
        <v>Meera</v>
      </c>
      <c r="M9" s="35" t="str">
        <f t="shared" si="5"/>
        <v>MEERA KAPOOR</v>
      </c>
      <c r="N9" s="47">
        <f t="shared" si="6"/>
        <v>2022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29">
        <v>2009</v>
      </c>
      <c r="B10" s="30" t="s">
        <v>168</v>
      </c>
      <c r="C10" s="30">
        <v>69</v>
      </c>
      <c r="D10" s="30">
        <v>54</v>
      </c>
      <c r="E10" s="30">
        <v>61</v>
      </c>
      <c r="F10" s="46">
        <v>44958</v>
      </c>
      <c r="G10" s="33">
        <f t="shared" si="7"/>
        <v>61.333333333333336</v>
      </c>
      <c r="H10" s="35" t="str">
        <f t="shared" si="0"/>
        <v>C</v>
      </c>
      <c r="I10" s="35" t="str">
        <f t="shared" si="1"/>
        <v>Pass</v>
      </c>
      <c r="J10" s="35" t="str">
        <f t="shared" si="2"/>
        <v>No</v>
      </c>
      <c r="K10" s="35" t="str">
        <f t="shared" si="3"/>
        <v>Not Eligible</v>
      </c>
      <c r="L10" s="35" t="str">
        <f t="shared" si="4"/>
        <v>Dev</v>
      </c>
      <c r="M10" s="35" t="str">
        <f t="shared" si="5"/>
        <v>DEV MALHOTRA</v>
      </c>
      <c r="N10" s="47">
        <f t="shared" si="6"/>
        <v>2023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29">
        <v>2010</v>
      </c>
      <c r="B11" s="30" t="s">
        <v>169</v>
      </c>
      <c r="C11" s="30">
        <v>96</v>
      </c>
      <c r="D11" s="30">
        <v>89</v>
      </c>
      <c r="E11" s="30">
        <v>94</v>
      </c>
      <c r="F11" s="46">
        <v>45147</v>
      </c>
      <c r="G11" s="33">
        <f t="shared" si="7"/>
        <v>93</v>
      </c>
      <c r="H11" s="35" t="str">
        <f t="shared" si="0"/>
        <v>A</v>
      </c>
      <c r="I11" s="35" t="str">
        <f t="shared" si="1"/>
        <v>Pass</v>
      </c>
      <c r="J11" s="35" t="str">
        <f t="shared" si="2"/>
        <v>Yes</v>
      </c>
      <c r="K11" s="35" t="str">
        <f t="shared" si="3"/>
        <v>Eligible</v>
      </c>
      <c r="L11" s="35" t="str">
        <f t="shared" si="4"/>
        <v>Pooja</v>
      </c>
      <c r="M11" s="35" t="str">
        <f t="shared" si="5"/>
        <v>POOJA SHARMA</v>
      </c>
      <c r="N11" s="47">
        <f t="shared" si="6"/>
        <v>2023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29">
        <v>2011</v>
      </c>
      <c r="B12" s="30" t="s">
        <v>152</v>
      </c>
      <c r="C12" s="30">
        <v>74</v>
      </c>
      <c r="D12" s="30">
        <v>77</v>
      </c>
      <c r="E12" s="30">
        <v>68</v>
      </c>
      <c r="F12" s="46">
        <v>45306</v>
      </c>
      <c r="G12" s="33">
        <f t="shared" si="7"/>
        <v>73</v>
      </c>
      <c r="H12" s="35" t="str">
        <f t="shared" si="0"/>
        <v>C</v>
      </c>
      <c r="I12" s="35" t="str">
        <f t="shared" si="1"/>
        <v>Pass</v>
      </c>
      <c r="J12" s="35" t="str">
        <f t="shared" si="2"/>
        <v>No</v>
      </c>
      <c r="K12" s="35" t="str">
        <f t="shared" si="3"/>
        <v>Not Eligible</v>
      </c>
      <c r="L12" s="35" t="str">
        <f t="shared" si="4"/>
        <v>Arjun</v>
      </c>
      <c r="M12" s="35" t="str">
        <f t="shared" si="5"/>
        <v>ARJUN RAO</v>
      </c>
      <c r="N12" s="47">
        <f t="shared" si="6"/>
        <v>2024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29">
        <v>2012</v>
      </c>
      <c r="B13" s="30" t="s">
        <v>170</v>
      </c>
      <c r="C13" s="30">
        <v>82</v>
      </c>
      <c r="D13" s="30">
        <v>95</v>
      </c>
      <c r="E13" s="30">
        <v>86</v>
      </c>
      <c r="F13" s="46">
        <v>45495</v>
      </c>
      <c r="G13" s="33">
        <f t="shared" si="7"/>
        <v>87.666666666666671</v>
      </c>
      <c r="H13" s="35" t="str">
        <f t="shared" si="0"/>
        <v>B</v>
      </c>
      <c r="I13" s="35" t="str">
        <f t="shared" si="1"/>
        <v>Pass</v>
      </c>
      <c r="J13" s="35" t="str">
        <f t="shared" si="2"/>
        <v>Yes</v>
      </c>
      <c r="K13" s="35" t="str">
        <f t="shared" si="3"/>
        <v>Eligible</v>
      </c>
      <c r="L13" s="35" t="str">
        <f t="shared" si="4"/>
        <v>Kavya</v>
      </c>
      <c r="M13" s="35" t="str">
        <f t="shared" si="5"/>
        <v>KAVYA IYER</v>
      </c>
      <c r="N13" s="47">
        <f t="shared" si="6"/>
        <v>2024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29">
        <v>2013</v>
      </c>
      <c r="B14" s="30" t="s">
        <v>156</v>
      </c>
      <c r="C14" s="30">
        <v>90</v>
      </c>
      <c r="D14" s="30">
        <v>71</v>
      </c>
      <c r="E14" s="30">
        <v>78</v>
      </c>
      <c r="F14" s="46">
        <v>45716</v>
      </c>
      <c r="G14" s="33">
        <f t="shared" si="7"/>
        <v>79.666666666666671</v>
      </c>
      <c r="H14" s="35" t="str">
        <f t="shared" si="0"/>
        <v>B</v>
      </c>
      <c r="I14" s="35" t="str">
        <f t="shared" si="1"/>
        <v>Pass</v>
      </c>
      <c r="J14" s="35" t="str">
        <f t="shared" si="2"/>
        <v>No</v>
      </c>
      <c r="K14" s="35" t="str">
        <f t="shared" si="3"/>
        <v>Not Eligible</v>
      </c>
      <c r="L14" s="35" t="str">
        <f t="shared" si="4"/>
        <v>Yash</v>
      </c>
      <c r="M14" s="35" t="str">
        <f t="shared" si="5"/>
        <v>YASH TIWARI</v>
      </c>
      <c r="N14" s="47">
        <f t="shared" si="6"/>
        <v>2025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29">
        <v>2014</v>
      </c>
      <c r="B15" s="30" t="s">
        <v>155</v>
      </c>
      <c r="C15" s="30">
        <v>65</v>
      </c>
      <c r="D15" s="30">
        <v>60</v>
      </c>
      <c r="E15" s="30">
        <v>73</v>
      </c>
      <c r="F15" s="46">
        <v>45904</v>
      </c>
      <c r="G15" s="33">
        <f t="shared" si="7"/>
        <v>66</v>
      </c>
      <c r="H15" s="35" t="str">
        <f t="shared" si="0"/>
        <v>C</v>
      </c>
      <c r="I15" s="35" t="str">
        <f t="shared" si="1"/>
        <v>Pass</v>
      </c>
      <c r="J15" s="35" t="str">
        <f t="shared" si="2"/>
        <v>No</v>
      </c>
      <c r="K15" s="35" t="str">
        <f t="shared" si="3"/>
        <v>Not Eligible</v>
      </c>
      <c r="L15" s="35" t="str">
        <f t="shared" si="4"/>
        <v>Simran</v>
      </c>
      <c r="M15" s="35" t="str">
        <f t="shared" si="5"/>
        <v>SIMRAN GILL</v>
      </c>
      <c r="N15" s="47">
        <f t="shared" si="6"/>
        <v>2025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29">
        <v>2015</v>
      </c>
      <c r="B16" s="30" t="s">
        <v>148</v>
      </c>
      <c r="C16" s="30">
        <v>77</v>
      </c>
      <c r="D16" s="30">
        <v>83</v>
      </c>
      <c r="E16" s="30">
        <v>69</v>
      </c>
      <c r="F16" s="46">
        <v>46092</v>
      </c>
      <c r="G16" s="33">
        <f t="shared" si="7"/>
        <v>76.333333333333329</v>
      </c>
      <c r="H16" s="35" t="str">
        <f t="shared" si="0"/>
        <v>B</v>
      </c>
      <c r="I16" s="35" t="str">
        <f t="shared" si="1"/>
        <v>Pass</v>
      </c>
      <c r="J16" s="35" t="str">
        <f t="shared" si="2"/>
        <v>No</v>
      </c>
      <c r="K16" s="35" t="str">
        <f t="shared" si="3"/>
        <v>Not Eligible</v>
      </c>
      <c r="L16" s="35" t="str">
        <f t="shared" si="4"/>
        <v>Vikram</v>
      </c>
      <c r="M16" s="35" t="str">
        <f t="shared" si="5"/>
        <v>VIKRAM DESAI</v>
      </c>
      <c r="N16" s="47">
        <f t="shared" si="6"/>
        <v>2026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29">
        <v>2016</v>
      </c>
      <c r="B17" s="30" t="s">
        <v>157</v>
      </c>
      <c r="C17" s="30">
        <v>93</v>
      </c>
      <c r="D17" s="30">
        <v>87</v>
      </c>
      <c r="E17" s="30">
        <v>90</v>
      </c>
      <c r="F17" s="46">
        <v>46283</v>
      </c>
      <c r="G17" s="33">
        <f t="shared" si="7"/>
        <v>90</v>
      </c>
      <c r="H17" s="35" t="str">
        <f t="shared" si="0"/>
        <v>A</v>
      </c>
      <c r="I17" s="35" t="str">
        <f t="shared" si="1"/>
        <v>Pass</v>
      </c>
      <c r="J17" s="35" t="str">
        <f t="shared" si="2"/>
        <v>Yes</v>
      </c>
      <c r="K17" s="35" t="str">
        <f t="shared" si="3"/>
        <v>Eligible</v>
      </c>
      <c r="L17" s="35" t="str">
        <f t="shared" si="4"/>
        <v>Ritika</v>
      </c>
      <c r="M17" s="35" t="str">
        <f t="shared" si="5"/>
        <v>RITIKA SONI</v>
      </c>
      <c r="N17" s="47">
        <f t="shared" si="6"/>
        <v>2026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29">
        <v>2017</v>
      </c>
      <c r="B18" s="30" t="s">
        <v>158</v>
      </c>
      <c r="C18" s="30">
        <v>71</v>
      </c>
      <c r="D18" s="30">
        <v>58</v>
      </c>
      <c r="E18" s="30">
        <v>64</v>
      </c>
      <c r="F18" s="46">
        <v>46501</v>
      </c>
      <c r="G18" s="33">
        <f t="shared" si="7"/>
        <v>64.333333333333329</v>
      </c>
      <c r="H18" s="35" t="str">
        <f t="shared" si="0"/>
        <v>C</v>
      </c>
      <c r="I18" s="35" t="str">
        <f t="shared" si="1"/>
        <v>Pass</v>
      </c>
      <c r="J18" s="35" t="str">
        <f t="shared" si="2"/>
        <v>No</v>
      </c>
      <c r="K18" s="35" t="str">
        <f t="shared" si="3"/>
        <v>Not Eligible</v>
      </c>
      <c r="L18" s="35" t="str">
        <f t="shared" si="4"/>
        <v>Manav</v>
      </c>
      <c r="M18" s="35" t="str">
        <f t="shared" si="5"/>
        <v>MANAV BATRA</v>
      </c>
      <c r="N18" s="47">
        <f t="shared" si="6"/>
        <v>2027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29">
        <v>2018</v>
      </c>
      <c r="B19" s="30" t="s">
        <v>159</v>
      </c>
      <c r="C19" s="30">
        <v>85</v>
      </c>
      <c r="D19" s="30">
        <v>91</v>
      </c>
      <c r="E19" s="30">
        <v>88</v>
      </c>
      <c r="F19" s="46">
        <v>46690</v>
      </c>
      <c r="G19" s="33">
        <f t="shared" si="7"/>
        <v>88</v>
      </c>
      <c r="H19" s="35" t="str">
        <f t="shared" si="0"/>
        <v>B</v>
      </c>
      <c r="I19" s="35" t="str">
        <f t="shared" si="1"/>
        <v>Pass</v>
      </c>
      <c r="J19" s="35" t="str">
        <f t="shared" si="2"/>
        <v>Yes</v>
      </c>
      <c r="K19" s="35" t="str">
        <f t="shared" si="3"/>
        <v>Eligible</v>
      </c>
      <c r="L19" s="35" t="str">
        <f t="shared" si="4"/>
        <v>Ishita</v>
      </c>
      <c r="M19" s="35" t="str">
        <f t="shared" si="5"/>
        <v>ISHITA ARORA</v>
      </c>
      <c r="N19" s="47">
        <f t="shared" si="6"/>
        <v>2027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29">
        <v>2019</v>
      </c>
      <c r="B20" s="30" t="s">
        <v>171</v>
      </c>
      <c r="C20" s="30">
        <v>67</v>
      </c>
      <c r="D20" s="30">
        <v>75</v>
      </c>
      <c r="E20" s="30">
        <v>59</v>
      </c>
      <c r="F20" s="46">
        <v>46879</v>
      </c>
      <c r="G20" s="33">
        <f t="shared" si="7"/>
        <v>67</v>
      </c>
      <c r="H20" s="35" t="str">
        <f t="shared" si="0"/>
        <v>C</v>
      </c>
      <c r="I20" s="35" t="str">
        <f t="shared" si="1"/>
        <v>Pass</v>
      </c>
      <c r="J20" s="35" t="str">
        <f t="shared" si="2"/>
        <v>No</v>
      </c>
      <c r="K20" s="35" t="str">
        <f t="shared" si="3"/>
        <v>Not Eligible</v>
      </c>
      <c r="L20" s="35" t="str">
        <f t="shared" si="4"/>
        <v>Aditya</v>
      </c>
      <c r="M20" s="35" t="str">
        <f t="shared" si="5"/>
        <v>ADITYA KHANNA</v>
      </c>
      <c r="N20" s="47">
        <f t="shared" si="6"/>
        <v>2028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37">
        <v>2020</v>
      </c>
      <c r="B21" s="38" t="s">
        <v>172</v>
      </c>
      <c r="C21" s="38">
        <v>98</v>
      </c>
      <c r="D21" s="38">
        <v>94</v>
      </c>
      <c r="E21" s="38">
        <v>96</v>
      </c>
      <c r="F21" s="48">
        <v>47069</v>
      </c>
      <c r="G21" s="41">
        <f t="shared" si="7"/>
        <v>96</v>
      </c>
      <c r="H21" s="43" t="str">
        <f t="shared" si="0"/>
        <v>A</v>
      </c>
      <c r="I21" s="43" t="str">
        <f t="shared" si="1"/>
        <v>Pass</v>
      </c>
      <c r="J21" s="43" t="str">
        <f t="shared" si="2"/>
        <v>Yes</v>
      </c>
      <c r="K21" s="43" t="str">
        <f t="shared" si="3"/>
        <v>Eligible</v>
      </c>
      <c r="L21" s="43" t="str">
        <f t="shared" si="4"/>
        <v>Neha</v>
      </c>
      <c r="M21" s="43" t="str">
        <f t="shared" si="5"/>
        <v>NEHA CHAWLA</v>
      </c>
      <c r="N21" s="49">
        <f t="shared" si="6"/>
        <v>2028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60" t="s">
        <v>54</v>
      </c>
      <c r="B24" s="6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2" t="s">
        <v>55</v>
      </c>
      <c r="B25" s="3">
        <f>COUNTIFS(C2:C21,"&gt;60")</f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" t="s">
        <v>56</v>
      </c>
      <c r="B26" s="3">
        <f>COUNTIFS(C2:C21,"&gt;50",D2:D21,"&gt;50")</f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" t="s">
        <v>57</v>
      </c>
      <c r="B27" s="3">
        <f>AVERAGEIFS(C2:C21,C2:C21,"&gt;60")</f>
        <v>81.21052631578948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" t="s">
        <v>58</v>
      </c>
      <c r="B28" s="3">
        <f>SUMIFS(C2:C21,D2:D21,"&gt;70")</f>
        <v>1243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" t="s">
        <v>59</v>
      </c>
      <c r="B29" s="3">
        <f>COUNTIF(H2:H21,"A")</f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" t="s">
        <v>60</v>
      </c>
      <c r="B30" s="3">
        <f>COUNTIF(I2:I21,"Pass")</f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9" t="s">
        <v>61</v>
      </c>
      <c r="B32" s="5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" t="s">
        <v>62</v>
      </c>
      <c r="B33" s="4">
        <v>2005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" t="s">
        <v>63</v>
      </c>
      <c r="B34" s="5" t="str">
        <f>IFERROR(VLOOKUP(B33,A2:B21,2,FALSE()),"Not Found")</f>
        <v>Karan Verma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" t="s">
        <v>64</v>
      </c>
      <c r="B35" s="5">
        <f>IFERROR(INDEX(C2:C21,MATCH(B33,A2:A21,0)),"Not Found")</f>
        <v>79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" t="s">
        <v>65</v>
      </c>
      <c r="B36" s="5" t="str">
        <f>IFERROR(_xlfn.XLOOKUP(B33,A2:A21,B2:B21,"Not Found"),"Not Found")</f>
        <v>Karan Verma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6" t="s">
        <v>66</v>
      </c>
      <c r="B40" s="57"/>
      <c r="C40" s="57"/>
      <c r="D40" s="5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4" t="s">
        <v>40</v>
      </c>
      <c r="B41" s="14" t="s">
        <v>41</v>
      </c>
      <c r="C41" s="14" t="s">
        <v>67</v>
      </c>
      <c r="D41" s="14" t="s">
        <v>68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5" cm="1">
        <f t="array" ref="A42:D49">_xlfn._xlws.FILTER(CHOOSE({1,2,3,4},A2:A21,B2:B21,ROUND(G2:G21,2),H2:H21),G2:G21&gt;80,"No Student Found")</f>
        <v>2001</v>
      </c>
      <c r="B42" s="15" t="str">
        <v>Aarav Shah</v>
      </c>
      <c r="C42" s="15">
        <v>85</v>
      </c>
      <c r="D42" s="15" t="str">
        <v>B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5">
        <v>2006</v>
      </c>
      <c r="B43" s="15" t="str">
        <v>Ananya Singh</v>
      </c>
      <c r="C43" s="15">
        <v>88</v>
      </c>
      <c r="D43" s="15" t="str">
        <v>B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5">
        <v>2008</v>
      </c>
      <c r="B44" s="15" t="str">
        <v>Meera Kapoor</v>
      </c>
      <c r="C44" s="15">
        <v>86.33</v>
      </c>
      <c r="D44" s="15" t="str">
        <v>B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5">
        <v>2010</v>
      </c>
      <c r="B45" s="15" t="str">
        <v>Pooja Sharma</v>
      </c>
      <c r="C45" s="15">
        <v>93</v>
      </c>
      <c r="D45" s="15" t="str">
        <v>A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5">
        <v>2012</v>
      </c>
      <c r="B46" s="15" t="str">
        <v>Kavya Iyer</v>
      </c>
      <c r="C46" s="15">
        <v>87.67</v>
      </c>
      <c r="D46" s="15" t="str">
        <v>B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5">
        <v>2016</v>
      </c>
      <c r="B47" s="15" t="str">
        <v>Ritika Soni</v>
      </c>
      <c r="C47" s="15">
        <v>90</v>
      </c>
      <c r="D47" s="15" t="str">
        <v>A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5">
        <v>2018</v>
      </c>
      <c r="B48" s="15" t="str">
        <v>Ishita Arora</v>
      </c>
      <c r="C48" s="15">
        <v>88</v>
      </c>
      <c r="D48" s="15" t="str">
        <v>B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5">
        <v>2020</v>
      </c>
      <c r="B49" s="15" t="str">
        <v>Neha Chawla</v>
      </c>
      <c r="C49" s="15">
        <v>96</v>
      </c>
      <c r="D49" s="15" t="str">
        <v>A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40:D40"/>
    <mergeCell ref="A32:B32"/>
    <mergeCell ref="A24:B24"/>
  </mergeCells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5" zoomScaleNormal="100" workbookViewId="0">
      <selection activeCell="A2" sqref="A2"/>
    </sheetView>
  </sheetViews>
  <sheetFormatPr defaultColWidth="14.44140625" defaultRowHeight="14.4" x14ac:dyDescent="0.3"/>
  <cols>
    <col min="1" max="1" width="27.33203125" bestFit="1" customWidth="1"/>
    <col min="2" max="2" width="31" customWidth="1"/>
    <col min="3" max="3" width="16.5546875" customWidth="1"/>
    <col min="4" max="4" width="18.44140625" customWidth="1"/>
    <col min="5" max="5" width="18" customWidth="1"/>
    <col min="6" max="6" width="25" customWidth="1"/>
    <col min="7" max="7" width="29.44140625" customWidth="1"/>
    <col min="8" max="8" width="30.109375" customWidth="1"/>
    <col min="9" max="9" width="31.109375" customWidth="1"/>
    <col min="10" max="10" width="31" customWidth="1"/>
    <col min="11" max="11" width="35.6640625" customWidth="1"/>
    <col min="12" max="26" width="40" customWidth="1"/>
  </cols>
  <sheetData>
    <row r="1" spans="1:26" ht="15" customHeight="1" x14ac:dyDescent="0.3">
      <c r="A1" s="13" t="s">
        <v>69</v>
      </c>
      <c r="B1" s="13" t="s">
        <v>70</v>
      </c>
      <c r="C1" s="13" t="s">
        <v>71</v>
      </c>
      <c r="D1" s="13" t="s">
        <v>72</v>
      </c>
      <c r="E1" s="13" t="s">
        <v>73</v>
      </c>
      <c r="F1" s="13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24" t="s">
        <v>79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30">
        <v>3001</v>
      </c>
      <c r="B2" s="30" t="s">
        <v>136</v>
      </c>
      <c r="C2" s="30" t="s">
        <v>84</v>
      </c>
      <c r="D2" s="30" t="s">
        <v>173</v>
      </c>
      <c r="E2" s="30">
        <v>12500</v>
      </c>
      <c r="F2" s="32">
        <v>44931.427083333336</v>
      </c>
      <c r="G2" s="35" t="str">
        <f>IF(OR(E2&gt;30000,B2="Laptop"),"Yes","No")</f>
        <v>No</v>
      </c>
      <c r="H2" s="35" t="str">
        <f>TEXT(F2,"MMM-YYYY")</f>
        <v>Jan-2023</v>
      </c>
      <c r="I2" s="34">
        <f>YEAR(F2)</f>
        <v>2023</v>
      </c>
      <c r="J2" s="35" t="str">
        <f>IF(E2&gt;=40000,"High",IF(E2&gt;=20000,"Medium","Low"))</f>
        <v>Low</v>
      </c>
      <c r="K2" s="36">
        <f>ROUND(E2,-2)</f>
        <v>12500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30">
        <v>3002</v>
      </c>
      <c r="B3" s="30" t="s">
        <v>137</v>
      </c>
      <c r="C3" s="30" t="s">
        <v>80</v>
      </c>
      <c r="D3" s="30" t="s">
        <v>174</v>
      </c>
      <c r="E3" s="30">
        <v>18900</v>
      </c>
      <c r="F3" s="32">
        <v>44946.479166666664</v>
      </c>
      <c r="G3" s="35" t="str">
        <f t="shared" ref="G3:G21" si="0">IF(OR(E3&gt;30000,B3="Laptop"),"Yes","No")</f>
        <v>No</v>
      </c>
      <c r="H3" s="35" t="str">
        <f t="shared" ref="H3:H21" si="1">TEXT(F3,"MMM-YYYY")</f>
        <v>Jan-2023</v>
      </c>
      <c r="I3" s="34">
        <f t="shared" ref="I3:I21" si="2">YEAR(F3)</f>
        <v>2023</v>
      </c>
      <c r="J3" s="35" t="str">
        <f t="shared" ref="J3:J21" si="3">IF(E3&gt;=40000,"High",IF(E3&gt;=20000,"Medium","Low"))</f>
        <v>Low</v>
      </c>
      <c r="K3" s="36">
        <f t="shared" ref="K3:K21" si="4">ROUND(E3,-2)</f>
        <v>18900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30">
        <v>3003</v>
      </c>
      <c r="B4" s="30" t="s">
        <v>138</v>
      </c>
      <c r="C4" s="30" t="s">
        <v>82</v>
      </c>
      <c r="D4" s="30" t="s">
        <v>162</v>
      </c>
      <c r="E4" s="30">
        <v>27450</v>
      </c>
      <c r="F4" s="32">
        <v>44961.40625</v>
      </c>
      <c r="G4" s="35" t="str">
        <f t="shared" si="0"/>
        <v>No</v>
      </c>
      <c r="H4" s="35" t="str">
        <f t="shared" si="1"/>
        <v>Feb-2023</v>
      </c>
      <c r="I4" s="34">
        <f t="shared" si="2"/>
        <v>2023</v>
      </c>
      <c r="J4" s="35" t="str">
        <f t="shared" si="3"/>
        <v>Medium</v>
      </c>
      <c r="K4" s="36">
        <f t="shared" si="4"/>
        <v>27500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30">
        <v>3004</v>
      </c>
      <c r="B5" s="30" t="s">
        <v>139</v>
      </c>
      <c r="C5" s="30" t="s">
        <v>83</v>
      </c>
      <c r="D5" s="30" t="s">
        <v>175</v>
      </c>
      <c r="E5" s="30">
        <v>9400</v>
      </c>
      <c r="F5" s="32">
        <v>44976.597222222219</v>
      </c>
      <c r="G5" s="35" t="str">
        <f t="shared" si="0"/>
        <v>No</v>
      </c>
      <c r="H5" s="35" t="str">
        <f t="shared" si="1"/>
        <v>Feb-2023</v>
      </c>
      <c r="I5" s="34">
        <f t="shared" si="2"/>
        <v>2023</v>
      </c>
      <c r="J5" s="35" t="str">
        <f t="shared" si="3"/>
        <v>Low</v>
      </c>
      <c r="K5" s="36">
        <f t="shared" si="4"/>
        <v>9400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30">
        <v>3005</v>
      </c>
      <c r="B6" s="30" t="s">
        <v>136</v>
      </c>
      <c r="C6" s="30" t="s">
        <v>80</v>
      </c>
      <c r="D6" s="30" t="s">
        <v>176</v>
      </c>
      <c r="E6" s="30">
        <v>38200</v>
      </c>
      <c r="F6" s="32">
        <v>44991.340277777781</v>
      </c>
      <c r="G6" s="35" t="str">
        <f t="shared" si="0"/>
        <v>Yes</v>
      </c>
      <c r="H6" s="35" t="str">
        <f t="shared" si="1"/>
        <v>Mar-2023</v>
      </c>
      <c r="I6" s="34">
        <f t="shared" si="2"/>
        <v>2023</v>
      </c>
      <c r="J6" s="35" t="str">
        <f t="shared" si="3"/>
        <v>Medium</v>
      </c>
      <c r="K6" s="36">
        <f t="shared" si="4"/>
        <v>38200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30">
        <v>3006</v>
      </c>
      <c r="B7" s="30" t="s">
        <v>138</v>
      </c>
      <c r="C7" s="30" t="s">
        <v>84</v>
      </c>
      <c r="D7" s="30" t="s">
        <v>149</v>
      </c>
      <c r="E7" s="30">
        <v>21450</v>
      </c>
      <c r="F7" s="32">
        <v>45006.690972222219</v>
      </c>
      <c r="G7" s="35" t="str">
        <f t="shared" si="0"/>
        <v>No</v>
      </c>
      <c r="H7" s="35" t="str">
        <f t="shared" si="1"/>
        <v>Mar-2023</v>
      </c>
      <c r="I7" s="34">
        <f t="shared" si="2"/>
        <v>2023</v>
      </c>
      <c r="J7" s="35" t="str">
        <f t="shared" si="3"/>
        <v>Medium</v>
      </c>
      <c r="K7" s="36">
        <f t="shared" si="4"/>
        <v>21500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30">
        <v>3007</v>
      </c>
      <c r="B8" s="30" t="s">
        <v>139</v>
      </c>
      <c r="C8" s="30" t="s">
        <v>82</v>
      </c>
      <c r="D8" s="30" t="s">
        <v>177</v>
      </c>
      <c r="E8" s="30">
        <v>30560</v>
      </c>
      <c r="F8" s="32">
        <v>45021.517361111109</v>
      </c>
      <c r="G8" s="35" t="str">
        <f t="shared" si="0"/>
        <v>Yes</v>
      </c>
      <c r="H8" s="35" t="str">
        <f t="shared" si="1"/>
        <v>Apr-2023</v>
      </c>
      <c r="I8" s="34">
        <f t="shared" si="2"/>
        <v>2023</v>
      </c>
      <c r="J8" s="35" t="str">
        <f t="shared" si="3"/>
        <v>Medium</v>
      </c>
      <c r="K8" s="36">
        <f t="shared" si="4"/>
        <v>30600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30">
        <v>3008</v>
      </c>
      <c r="B9" s="30" t="s">
        <v>136</v>
      </c>
      <c r="C9" s="30" t="s">
        <v>83</v>
      </c>
      <c r="D9" s="30" t="s">
        <v>178</v>
      </c>
      <c r="E9" s="30">
        <v>45210</v>
      </c>
      <c r="F9" s="32">
        <v>45036.652777777781</v>
      </c>
      <c r="G9" s="35" t="str">
        <f t="shared" si="0"/>
        <v>Yes</v>
      </c>
      <c r="H9" s="35" t="str">
        <f t="shared" si="1"/>
        <v>Apr-2023</v>
      </c>
      <c r="I9" s="34">
        <f t="shared" si="2"/>
        <v>2023</v>
      </c>
      <c r="J9" s="35" t="str">
        <f t="shared" si="3"/>
        <v>High</v>
      </c>
      <c r="K9" s="36">
        <f t="shared" si="4"/>
        <v>45200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30">
        <v>3009</v>
      </c>
      <c r="B10" s="30" t="s">
        <v>81</v>
      </c>
      <c r="C10" s="30" t="s">
        <v>84</v>
      </c>
      <c r="D10" s="30" t="s">
        <v>179</v>
      </c>
      <c r="E10" s="30">
        <v>22340</v>
      </c>
      <c r="F10" s="32">
        <v>45051.378472222219</v>
      </c>
      <c r="G10" s="35" t="str">
        <f t="shared" si="0"/>
        <v>No</v>
      </c>
      <c r="H10" s="35" t="str">
        <f t="shared" si="1"/>
        <v>May-2023</v>
      </c>
      <c r="I10" s="34">
        <f t="shared" si="2"/>
        <v>2023</v>
      </c>
      <c r="J10" s="35" t="str">
        <f t="shared" si="3"/>
        <v>Medium</v>
      </c>
      <c r="K10" s="36">
        <f t="shared" si="4"/>
        <v>22300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30">
        <v>3010</v>
      </c>
      <c r="B11" s="30" t="s">
        <v>86</v>
      </c>
      <c r="C11" s="30" t="s">
        <v>80</v>
      </c>
      <c r="D11" s="30" t="s">
        <v>180</v>
      </c>
      <c r="E11" s="30">
        <v>41780</v>
      </c>
      <c r="F11" s="32">
        <v>45066.576388888891</v>
      </c>
      <c r="G11" s="35" t="str">
        <f t="shared" si="0"/>
        <v>Yes</v>
      </c>
      <c r="H11" s="35" t="str">
        <f t="shared" si="1"/>
        <v>May-2023</v>
      </c>
      <c r="I11" s="34">
        <f t="shared" si="2"/>
        <v>2023</v>
      </c>
      <c r="J11" s="35" t="str">
        <f t="shared" si="3"/>
        <v>High</v>
      </c>
      <c r="K11" s="36">
        <f t="shared" si="4"/>
        <v>41800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30">
        <v>3011</v>
      </c>
      <c r="B12" s="30" t="s">
        <v>137</v>
      </c>
      <c r="C12" s="30" t="s">
        <v>83</v>
      </c>
      <c r="D12" s="30" t="s">
        <v>181</v>
      </c>
      <c r="E12" s="30">
        <v>17650</v>
      </c>
      <c r="F12" s="32">
        <v>45081.454861111109</v>
      </c>
      <c r="G12" s="35" t="str">
        <f t="shared" si="0"/>
        <v>No</v>
      </c>
      <c r="H12" s="35" t="str">
        <f t="shared" si="1"/>
        <v>Jun-2023</v>
      </c>
      <c r="I12" s="34">
        <f t="shared" si="2"/>
        <v>2023</v>
      </c>
      <c r="J12" s="35" t="str">
        <f t="shared" si="3"/>
        <v>Low</v>
      </c>
      <c r="K12" s="36">
        <f t="shared" si="4"/>
        <v>17700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30">
        <v>3012</v>
      </c>
      <c r="B13" s="30" t="s">
        <v>85</v>
      </c>
      <c r="C13" s="30" t="s">
        <v>82</v>
      </c>
      <c r="D13" s="30" t="s">
        <v>182</v>
      </c>
      <c r="E13" s="30">
        <v>36200</v>
      </c>
      <c r="F13" s="32">
        <v>45096.71875</v>
      </c>
      <c r="G13" s="35" t="str">
        <f t="shared" si="0"/>
        <v>Yes</v>
      </c>
      <c r="H13" s="35" t="str">
        <f t="shared" si="1"/>
        <v>Jun-2023</v>
      </c>
      <c r="I13" s="34">
        <f t="shared" si="2"/>
        <v>2023</v>
      </c>
      <c r="J13" s="35" t="str">
        <f t="shared" si="3"/>
        <v>Medium</v>
      </c>
      <c r="K13" s="36">
        <f t="shared" si="4"/>
        <v>36200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30">
        <v>3013</v>
      </c>
      <c r="B14" s="30" t="s">
        <v>86</v>
      </c>
      <c r="C14" s="30" t="s">
        <v>83</v>
      </c>
      <c r="D14" s="30" t="s">
        <v>183</v>
      </c>
      <c r="E14" s="30">
        <v>28900</v>
      </c>
      <c r="F14" s="32">
        <v>45111.461805555555</v>
      </c>
      <c r="G14" s="35" t="str">
        <f t="shared" si="0"/>
        <v>Yes</v>
      </c>
      <c r="H14" s="35" t="str">
        <f t="shared" si="1"/>
        <v>Jul-2023</v>
      </c>
      <c r="I14" s="34">
        <f t="shared" si="2"/>
        <v>2023</v>
      </c>
      <c r="J14" s="35" t="str">
        <f t="shared" si="3"/>
        <v>Medium</v>
      </c>
      <c r="K14" s="36">
        <f t="shared" si="4"/>
        <v>28900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30">
        <v>3014</v>
      </c>
      <c r="B15" s="30" t="s">
        <v>138</v>
      </c>
      <c r="C15" s="30" t="s">
        <v>80</v>
      </c>
      <c r="D15" s="30" t="s">
        <v>184</v>
      </c>
      <c r="E15" s="30">
        <v>13200</v>
      </c>
      <c r="F15" s="32">
        <v>45126.614583333336</v>
      </c>
      <c r="G15" s="35" t="str">
        <f t="shared" si="0"/>
        <v>No</v>
      </c>
      <c r="H15" s="35" t="str">
        <f t="shared" si="1"/>
        <v>Jul-2023</v>
      </c>
      <c r="I15" s="34">
        <f t="shared" si="2"/>
        <v>2023</v>
      </c>
      <c r="J15" s="35" t="str">
        <f t="shared" si="3"/>
        <v>Low</v>
      </c>
      <c r="K15" s="36">
        <f t="shared" si="4"/>
        <v>13200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30">
        <v>3015</v>
      </c>
      <c r="B16" s="30" t="s">
        <v>139</v>
      </c>
      <c r="C16" s="30" t="s">
        <v>84</v>
      </c>
      <c r="D16" s="30" t="s">
        <v>185</v>
      </c>
      <c r="E16" s="30">
        <v>16890</v>
      </c>
      <c r="F16" s="32">
        <v>45141.354166666664</v>
      </c>
      <c r="G16" s="35" t="str">
        <f t="shared" si="0"/>
        <v>No</v>
      </c>
      <c r="H16" s="35" t="str">
        <f t="shared" si="1"/>
        <v>Aug-2023</v>
      </c>
      <c r="I16" s="34">
        <f t="shared" si="2"/>
        <v>2023</v>
      </c>
      <c r="J16" s="35" t="str">
        <f t="shared" si="3"/>
        <v>Low</v>
      </c>
      <c r="K16" s="36">
        <f t="shared" si="4"/>
        <v>16900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30">
        <v>3016</v>
      </c>
      <c r="B17" s="30" t="s">
        <v>136</v>
      </c>
      <c r="C17" s="30" t="s">
        <v>82</v>
      </c>
      <c r="D17" s="30" t="s">
        <v>186</v>
      </c>
      <c r="E17" s="30">
        <v>49870</v>
      </c>
      <c r="F17" s="32">
        <v>45156.673611111109</v>
      </c>
      <c r="G17" s="35" t="str">
        <f t="shared" si="0"/>
        <v>Yes</v>
      </c>
      <c r="H17" s="35" t="str">
        <f t="shared" si="1"/>
        <v>Aug-2023</v>
      </c>
      <c r="I17" s="34">
        <f t="shared" si="2"/>
        <v>2023</v>
      </c>
      <c r="J17" s="35" t="str">
        <f t="shared" si="3"/>
        <v>High</v>
      </c>
      <c r="K17" s="36">
        <f t="shared" si="4"/>
        <v>49900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30">
        <v>3017</v>
      </c>
      <c r="B18" s="30" t="s">
        <v>85</v>
      </c>
      <c r="C18" s="30" t="s">
        <v>83</v>
      </c>
      <c r="D18" s="30" t="s">
        <v>187</v>
      </c>
      <c r="E18" s="30">
        <v>40125</v>
      </c>
      <c r="F18" s="32">
        <v>45171.388888888891</v>
      </c>
      <c r="G18" s="35" t="str">
        <f t="shared" si="0"/>
        <v>Yes</v>
      </c>
      <c r="H18" s="35" t="str">
        <f t="shared" si="1"/>
        <v>Sep-2023</v>
      </c>
      <c r="I18" s="34">
        <f t="shared" si="2"/>
        <v>2023</v>
      </c>
      <c r="J18" s="35" t="str">
        <f t="shared" si="3"/>
        <v>High</v>
      </c>
      <c r="K18" s="36">
        <f t="shared" si="4"/>
        <v>40100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30">
        <v>3018</v>
      </c>
      <c r="B19" s="30" t="s">
        <v>86</v>
      </c>
      <c r="C19" s="30" t="s">
        <v>82</v>
      </c>
      <c r="D19" s="30" t="s">
        <v>188</v>
      </c>
      <c r="E19" s="30">
        <v>37640</v>
      </c>
      <c r="F19" s="32">
        <v>45186.527777777781</v>
      </c>
      <c r="G19" s="35" t="str">
        <f t="shared" si="0"/>
        <v>Yes</v>
      </c>
      <c r="H19" s="35" t="str">
        <f t="shared" si="1"/>
        <v>Sep-2023</v>
      </c>
      <c r="I19" s="34">
        <f t="shared" si="2"/>
        <v>2023</v>
      </c>
      <c r="J19" s="35" t="str">
        <f t="shared" si="3"/>
        <v>Medium</v>
      </c>
      <c r="K19" s="36">
        <f t="shared" si="4"/>
        <v>37600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30">
        <v>3019</v>
      </c>
      <c r="B20" s="30" t="s">
        <v>81</v>
      </c>
      <c r="C20" s="30" t="s">
        <v>80</v>
      </c>
      <c r="D20" s="30" t="s">
        <v>189</v>
      </c>
      <c r="E20" s="30">
        <v>25800</v>
      </c>
      <c r="F20" s="32">
        <v>45201.642361111109</v>
      </c>
      <c r="G20" s="35" t="str">
        <f t="shared" si="0"/>
        <v>No</v>
      </c>
      <c r="H20" s="35" t="str">
        <f t="shared" si="1"/>
        <v>Oct-2023</v>
      </c>
      <c r="I20" s="34">
        <f t="shared" si="2"/>
        <v>2023</v>
      </c>
      <c r="J20" s="35" t="str">
        <f t="shared" si="3"/>
        <v>Medium</v>
      </c>
      <c r="K20" s="36">
        <f t="shared" si="4"/>
        <v>25800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38">
        <v>3020</v>
      </c>
      <c r="B21" s="38" t="s">
        <v>137</v>
      </c>
      <c r="C21" s="38" t="s">
        <v>84</v>
      </c>
      <c r="D21" s="38" t="s">
        <v>190</v>
      </c>
      <c r="E21" s="38">
        <v>31275</v>
      </c>
      <c r="F21" s="40">
        <v>45216.75</v>
      </c>
      <c r="G21" s="43" t="str">
        <f t="shared" si="0"/>
        <v>Yes</v>
      </c>
      <c r="H21" s="43" t="str">
        <f t="shared" si="1"/>
        <v>Oct-2023</v>
      </c>
      <c r="I21" s="42">
        <f t="shared" si="2"/>
        <v>2023</v>
      </c>
      <c r="J21" s="43" t="str">
        <f t="shared" si="3"/>
        <v>Medium</v>
      </c>
      <c r="K21" s="44">
        <f t="shared" si="4"/>
        <v>31300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5" t="s">
        <v>87</v>
      </c>
      <c r="B24" s="4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9" t="s">
        <v>88</v>
      </c>
      <c r="B25" s="10">
        <f>SUM(E2:E21)</f>
        <v>565340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9" t="s">
        <v>89</v>
      </c>
      <c r="B26" s="10">
        <f>SUMIFS(E2:E21,C2:C21,"East")</f>
        <v>141285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9" t="s">
        <v>90</v>
      </c>
      <c r="B27" s="10">
        <f>SUMIFS(E2:E21,B2:B21,"Keyboard")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9" t="s">
        <v>91</v>
      </c>
      <c r="B28" s="10">
        <f>AVERAGEIFS(E2:E21,C2:C21,"North")</f>
        <v>20891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9" t="s">
        <v>92</v>
      </c>
      <c r="B29" s="10">
        <f>COUNTIFS(B2:B21,"Monitor")</f>
        <v>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9" t="s">
        <v>93</v>
      </c>
      <c r="B30" s="10">
        <f>COUNTIFS(E2:E21,"&gt;30000")</f>
        <v>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9" t="s">
        <v>94</v>
      </c>
      <c r="B31" s="10">
        <f>MAX(E2:E21)</f>
        <v>49870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9" t="s">
        <v>95</v>
      </c>
      <c r="B32" s="10">
        <f>MIN(E2:E21)</f>
        <v>9400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61" t="s">
        <v>96</v>
      </c>
      <c r="B34" s="6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9" t="s">
        <v>97</v>
      </c>
      <c r="B35" s="11">
        <v>3007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9" t="s">
        <v>98</v>
      </c>
      <c r="B36" s="12" t="str">
        <f>IFERROR(VLOOKUP(B35,A2:B21,2,FALSE()),"Not Found")</f>
        <v>Speaker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9" t="s">
        <v>99</v>
      </c>
      <c r="B37" s="10">
        <f>IFERROR(_xlfn.XLOOKUP(B35,A2:A21,E2:E21,"Not Found"),"Not Found")</f>
        <v>30560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9" t="s">
        <v>100</v>
      </c>
      <c r="B38" s="12">
        <f>IFERROR(_xlfn.XMATCH(B35,A2:A21),"Not Found")</f>
        <v>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9" t="s">
        <v>101</v>
      </c>
      <c r="B39" s="12" t="str">
        <f>IFERROR(INDEX(D2:D21,MATCH(B35,A2:A21,0)),"Not Found")</f>
        <v>Rahul Singh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24:B32" xr:uid="{00000000-0001-0000-0200-000000000000}">
    <filterColumn colId="0" showButton="0"/>
  </autoFilter>
  <mergeCells count="1">
    <mergeCell ref="A34:B34"/>
  </mergeCells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abSelected="1" zoomScaleNormal="100" workbookViewId="0">
      <selection activeCell="E24" sqref="E24"/>
    </sheetView>
  </sheetViews>
  <sheetFormatPr defaultColWidth="14.44140625" defaultRowHeight="14.4" x14ac:dyDescent="0.3"/>
  <cols>
    <col min="1" max="2" width="40" customWidth="1"/>
    <col min="3" max="3" width="16" customWidth="1"/>
    <col min="4" max="4" width="17.44140625" customWidth="1"/>
    <col min="5" max="5" width="28.88671875" customWidth="1"/>
    <col min="6" max="25" width="32" customWidth="1"/>
  </cols>
  <sheetData>
    <row r="1" spans="1:25" ht="15" customHeight="1" x14ac:dyDescent="0.3">
      <c r="A1" s="25" t="s">
        <v>102</v>
      </c>
      <c r="B1" s="26" t="s">
        <v>41</v>
      </c>
      <c r="C1" s="26" t="s">
        <v>103</v>
      </c>
      <c r="D1" s="26" t="s">
        <v>104</v>
      </c>
      <c r="E1" s="26" t="s">
        <v>105</v>
      </c>
      <c r="F1" s="27" t="s">
        <v>106</v>
      </c>
      <c r="G1" s="27" t="s">
        <v>107</v>
      </c>
      <c r="H1" s="27" t="s">
        <v>108</v>
      </c>
      <c r="I1" s="27" t="s">
        <v>109</v>
      </c>
      <c r="J1" s="27" t="s">
        <v>52</v>
      </c>
      <c r="K1" s="27" t="s">
        <v>110</v>
      </c>
      <c r="L1" s="28" t="s">
        <v>111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3">
      <c r="A2" s="29">
        <v>5001</v>
      </c>
      <c r="B2" s="30" t="s">
        <v>140</v>
      </c>
      <c r="C2" s="30" t="s">
        <v>114</v>
      </c>
      <c r="D2" s="31">
        <v>72450</v>
      </c>
      <c r="E2" s="32">
        <v>42412.385416666664</v>
      </c>
      <c r="F2" s="33">
        <f ca="1">ROUND((TODAY()-E2)/365.25,1)</f>
        <v>10.199999999999999</v>
      </c>
      <c r="G2" s="34">
        <f>YEAR(E2)</f>
        <v>2016</v>
      </c>
      <c r="H2" s="35" t="str">
        <f>IF(D2&gt;=100000,"Senior",IF(D2&gt;=60000,"Mid-Level","Junior"))</f>
        <v>Mid-Level</v>
      </c>
      <c r="I2" s="35" t="str">
        <f>LEFT(B2,FIND(" ",B2)-1)</f>
        <v>Aarav</v>
      </c>
      <c r="J2" s="35" t="str">
        <f>UPPER(B2)</f>
        <v>AARAV MEHTA</v>
      </c>
      <c r="K2" s="35" t="str">
        <f>LOWER(B2)</f>
        <v>aarav mehta</v>
      </c>
      <c r="L2" s="36">
        <f>D2*0.1</f>
        <v>7245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3">
      <c r="A3" s="29">
        <v>5002</v>
      </c>
      <c r="B3" s="30" t="s">
        <v>141</v>
      </c>
      <c r="C3" s="30" t="s">
        <v>113</v>
      </c>
      <c r="D3" s="31">
        <v>48320</v>
      </c>
      <c r="E3" s="32">
        <v>42662.486111111109</v>
      </c>
      <c r="F3" s="33">
        <f t="shared" ref="F3:F21" ca="1" si="0">ROUND((TODAY()-E3)/365.25,1)</f>
        <v>9.6</v>
      </c>
      <c r="G3" s="34">
        <f t="shared" ref="G3:G21" si="1">YEAR(E3)</f>
        <v>2016</v>
      </c>
      <c r="H3" s="35" t="str">
        <f t="shared" ref="H3:H21" si="2">IF(D3&gt;=100000,"Senior",IF(D3&gt;=60000,"Mid-Level","Junior"))</f>
        <v>Junior</v>
      </c>
      <c r="I3" s="35" t="str">
        <f t="shared" ref="I3:I21" si="3">LEFT(B3,FIND(" ",B3)-1)</f>
        <v>Kavya</v>
      </c>
      <c r="J3" s="35" t="str">
        <f t="shared" ref="J3:J21" si="4">UPPER(B3)</f>
        <v>KAVYA SHARMA</v>
      </c>
      <c r="K3" s="35" t="str">
        <f t="shared" ref="K3:K21" si="5">LOWER(B3)</f>
        <v>kavya sharma</v>
      </c>
      <c r="L3" s="36">
        <f t="shared" ref="L3:L21" si="6">D3*0.1</f>
        <v>4832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x14ac:dyDescent="0.3">
      <c r="A4" s="29">
        <v>5003</v>
      </c>
      <c r="B4" s="30" t="s">
        <v>142</v>
      </c>
      <c r="C4" s="30" t="s">
        <v>112</v>
      </c>
      <c r="D4" s="31">
        <v>95670</v>
      </c>
      <c r="E4" s="32">
        <v>42850.350694444445</v>
      </c>
      <c r="F4" s="33">
        <f t="shared" ca="1" si="0"/>
        <v>9</v>
      </c>
      <c r="G4" s="34">
        <f t="shared" si="1"/>
        <v>2017</v>
      </c>
      <c r="H4" s="35" t="str">
        <f t="shared" si="2"/>
        <v>Mid-Level</v>
      </c>
      <c r="I4" s="35" t="str">
        <f t="shared" si="3"/>
        <v>Rohan</v>
      </c>
      <c r="J4" s="35" t="str">
        <f t="shared" si="4"/>
        <v>ROHAN PATEL</v>
      </c>
      <c r="K4" s="35" t="str">
        <f t="shared" si="5"/>
        <v>rohan patel</v>
      </c>
      <c r="L4" s="36">
        <f t="shared" si="6"/>
        <v>9567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x14ac:dyDescent="0.3">
      <c r="A5" s="29">
        <v>5004</v>
      </c>
      <c r="B5" s="30" t="s">
        <v>143</v>
      </c>
      <c r="C5" s="30" t="s">
        <v>115</v>
      </c>
      <c r="D5" s="31">
        <v>67890</v>
      </c>
      <c r="E5" s="32">
        <v>43099.590277777781</v>
      </c>
      <c r="F5" s="33">
        <f t="shared" ca="1" si="0"/>
        <v>8.4</v>
      </c>
      <c r="G5" s="34">
        <f t="shared" si="1"/>
        <v>2017</v>
      </c>
      <c r="H5" s="35" t="str">
        <f t="shared" si="2"/>
        <v>Mid-Level</v>
      </c>
      <c r="I5" s="35" t="str">
        <f t="shared" si="3"/>
        <v>Neha</v>
      </c>
      <c r="J5" s="35" t="str">
        <f t="shared" si="4"/>
        <v>NEHA VERMA</v>
      </c>
      <c r="K5" s="35" t="str">
        <f t="shared" si="5"/>
        <v>neha verma</v>
      </c>
      <c r="L5" s="36">
        <f t="shared" si="6"/>
        <v>6789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 x14ac:dyDescent="0.3">
      <c r="A6" s="29">
        <v>5005</v>
      </c>
      <c r="B6" s="30" t="s">
        <v>144</v>
      </c>
      <c r="C6" s="30" t="s">
        <v>114</v>
      </c>
      <c r="D6" s="31">
        <v>108540</v>
      </c>
      <c r="E6" s="32">
        <v>43289.454861111109</v>
      </c>
      <c r="F6" s="33">
        <f t="shared" ca="1" si="0"/>
        <v>7.8</v>
      </c>
      <c r="G6" s="34">
        <f t="shared" si="1"/>
        <v>2018</v>
      </c>
      <c r="H6" s="35" t="str">
        <f t="shared" si="2"/>
        <v>Senior</v>
      </c>
      <c r="I6" s="35" t="str">
        <f t="shared" si="3"/>
        <v>Aditya</v>
      </c>
      <c r="J6" s="35" t="str">
        <f t="shared" si="4"/>
        <v>ADITYA SINGH</v>
      </c>
      <c r="K6" s="35" t="str">
        <f t="shared" si="5"/>
        <v>aditya singh</v>
      </c>
      <c r="L6" s="36">
        <f t="shared" si="6"/>
        <v>10854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customHeight="1" x14ac:dyDescent="0.3">
      <c r="A7" s="29">
        <v>5006</v>
      </c>
      <c r="B7" s="30" t="s">
        <v>145</v>
      </c>
      <c r="C7" s="30" t="s">
        <v>112</v>
      </c>
      <c r="D7" s="31">
        <v>58730</v>
      </c>
      <c r="E7" s="32">
        <v>43479.680555555555</v>
      </c>
      <c r="F7" s="33">
        <f t="shared" ca="1" si="0"/>
        <v>7.3</v>
      </c>
      <c r="G7" s="34">
        <f t="shared" si="1"/>
        <v>2019</v>
      </c>
      <c r="H7" s="35" t="str">
        <f t="shared" si="2"/>
        <v>Junior</v>
      </c>
      <c r="I7" s="35" t="str">
        <f t="shared" si="3"/>
        <v>Priya</v>
      </c>
      <c r="J7" s="35" t="str">
        <f t="shared" si="4"/>
        <v>PRIYA NAIR</v>
      </c>
      <c r="K7" s="35" t="str">
        <f t="shared" si="5"/>
        <v>priya nair</v>
      </c>
      <c r="L7" s="36">
        <f t="shared" si="6"/>
        <v>5873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3">
      <c r="A8" s="29">
        <v>5007</v>
      </c>
      <c r="B8" s="30" t="s">
        <v>146</v>
      </c>
      <c r="C8" s="30" t="s">
        <v>113</v>
      </c>
      <c r="D8" s="31">
        <v>82115</v>
      </c>
      <c r="E8" s="32">
        <v>43729.53125</v>
      </c>
      <c r="F8" s="33">
        <f t="shared" ca="1" si="0"/>
        <v>6.6</v>
      </c>
      <c r="G8" s="34">
        <f t="shared" si="1"/>
        <v>2019</v>
      </c>
      <c r="H8" s="35" t="str">
        <f t="shared" si="2"/>
        <v>Mid-Level</v>
      </c>
      <c r="I8" s="35" t="str">
        <f t="shared" si="3"/>
        <v>Rahul</v>
      </c>
      <c r="J8" s="35" t="str">
        <f t="shared" si="4"/>
        <v>RAHUL JOSHI</v>
      </c>
      <c r="K8" s="35" t="str">
        <f t="shared" si="5"/>
        <v>rahul joshi</v>
      </c>
      <c r="L8" s="36">
        <f t="shared" si="6"/>
        <v>8211.5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 x14ac:dyDescent="0.3">
      <c r="A9" s="29">
        <v>5008</v>
      </c>
      <c r="B9" s="30" t="s">
        <v>147</v>
      </c>
      <c r="C9" s="30" t="s">
        <v>114</v>
      </c>
      <c r="D9" s="31">
        <v>112300</v>
      </c>
      <c r="E9" s="32">
        <v>43979.399305555555</v>
      </c>
      <c r="F9" s="33">
        <f t="shared" ca="1" si="0"/>
        <v>6</v>
      </c>
      <c r="G9" s="34">
        <f t="shared" si="1"/>
        <v>2020</v>
      </c>
      <c r="H9" s="35" t="str">
        <f t="shared" si="2"/>
        <v>Senior</v>
      </c>
      <c r="I9" s="35" t="str">
        <f t="shared" si="3"/>
        <v>Sneha</v>
      </c>
      <c r="J9" s="35" t="str">
        <f t="shared" si="4"/>
        <v>SNEHA KAPOOR</v>
      </c>
      <c r="K9" s="35" t="str">
        <f t="shared" si="5"/>
        <v>sneha kapoor</v>
      </c>
      <c r="L9" s="36">
        <f t="shared" si="6"/>
        <v>11230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customHeight="1" x14ac:dyDescent="0.3">
      <c r="A10" s="29">
        <v>5009</v>
      </c>
      <c r="B10" s="30" t="s">
        <v>148</v>
      </c>
      <c r="C10" s="30" t="s">
        <v>115</v>
      </c>
      <c r="D10" s="31">
        <v>76450</v>
      </c>
      <c r="E10" s="32">
        <v>44169.659722222219</v>
      </c>
      <c r="F10" s="33">
        <f t="shared" ca="1" si="0"/>
        <v>5.4</v>
      </c>
      <c r="G10" s="34">
        <f t="shared" si="1"/>
        <v>2020</v>
      </c>
      <c r="H10" s="35" t="str">
        <f t="shared" si="2"/>
        <v>Mid-Level</v>
      </c>
      <c r="I10" s="35" t="str">
        <f t="shared" si="3"/>
        <v>Vikram</v>
      </c>
      <c r="J10" s="35" t="str">
        <f t="shared" si="4"/>
        <v>VIKRAM DESAI</v>
      </c>
      <c r="K10" s="35" t="str">
        <f t="shared" si="5"/>
        <v>vikram desai</v>
      </c>
      <c r="L10" s="36">
        <f t="shared" si="6"/>
        <v>7645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 x14ac:dyDescent="0.3">
      <c r="A11" s="29">
        <v>5010</v>
      </c>
      <c r="B11" s="30" t="s">
        <v>149</v>
      </c>
      <c r="C11" s="30" t="s">
        <v>112</v>
      </c>
      <c r="D11" s="31">
        <v>98275</v>
      </c>
      <c r="E11" s="32">
        <v>44357.461805555555</v>
      </c>
      <c r="F11" s="33">
        <f t="shared" ca="1" si="0"/>
        <v>4.9000000000000004</v>
      </c>
      <c r="G11" s="34">
        <f t="shared" si="1"/>
        <v>2021</v>
      </c>
      <c r="H11" s="35" t="str">
        <f t="shared" si="2"/>
        <v>Mid-Level</v>
      </c>
      <c r="I11" s="35" t="str">
        <f t="shared" si="3"/>
        <v>Ananya</v>
      </c>
      <c r="J11" s="35" t="str">
        <f t="shared" si="4"/>
        <v>ANANYA SHAH</v>
      </c>
      <c r="K11" s="35" t="str">
        <f t="shared" si="5"/>
        <v>ananya shah</v>
      </c>
      <c r="L11" s="36">
        <f t="shared" si="6"/>
        <v>9827.5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 x14ac:dyDescent="0.3">
      <c r="A12" s="29">
        <v>5011</v>
      </c>
      <c r="B12" s="30" t="s">
        <v>150</v>
      </c>
      <c r="C12" s="30" t="s">
        <v>113</v>
      </c>
      <c r="D12" s="31">
        <v>44980</v>
      </c>
      <c r="E12" s="32">
        <v>44548.729166666664</v>
      </c>
      <c r="F12" s="33">
        <f t="shared" ca="1" si="0"/>
        <v>4.4000000000000004</v>
      </c>
      <c r="G12" s="34">
        <f t="shared" si="1"/>
        <v>2021</v>
      </c>
      <c r="H12" s="35" t="str">
        <f t="shared" si="2"/>
        <v>Junior</v>
      </c>
      <c r="I12" s="35" t="str">
        <f t="shared" si="3"/>
        <v>Karan</v>
      </c>
      <c r="J12" s="35" t="str">
        <f t="shared" si="4"/>
        <v>KARAN MALHOTRA</v>
      </c>
      <c r="K12" s="35" t="str">
        <f t="shared" si="5"/>
        <v>karan malhotra</v>
      </c>
      <c r="L12" s="36">
        <f t="shared" si="6"/>
        <v>4498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 x14ac:dyDescent="0.3">
      <c r="A13" s="29">
        <v>5012</v>
      </c>
      <c r="B13" s="30" t="s">
        <v>151</v>
      </c>
      <c r="C13" s="30" t="s">
        <v>114</v>
      </c>
      <c r="D13" s="31">
        <v>118640</v>
      </c>
      <c r="E13" s="32">
        <v>44798.552083333336</v>
      </c>
      <c r="F13" s="33">
        <f t="shared" ca="1" si="0"/>
        <v>3.7</v>
      </c>
      <c r="G13" s="34">
        <f t="shared" si="1"/>
        <v>2022</v>
      </c>
      <c r="H13" s="35" t="str">
        <f t="shared" si="2"/>
        <v>Senior</v>
      </c>
      <c r="I13" s="35" t="str">
        <f t="shared" si="3"/>
        <v>Meera</v>
      </c>
      <c r="J13" s="35" t="str">
        <f t="shared" si="4"/>
        <v>MEERA IYER</v>
      </c>
      <c r="K13" s="35" t="str">
        <f t="shared" si="5"/>
        <v>meera iyer</v>
      </c>
      <c r="L13" s="36">
        <f t="shared" si="6"/>
        <v>11864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 x14ac:dyDescent="0.3">
      <c r="A14" s="29">
        <v>5013</v>
      </c>
      <c r="B14" s="30" t="s">
        <v>152</v>
      </c>
      <c r="C14" s="30" t="s">
        <v>115</v>
      </c>
      <c r="D14" s="31">
        <v>63540</v>
      </c>
      <c r="E14" s="32">
        <v>44987.368055555555</v>
      </c>
      <c r="F14" s="33">
        <f t="shared" ca="1" si="0"/>
        <v>3.2</v>
      </c>
      <c r="G14" s="34">
        <f t="shared" si="1"/>
        <v>2023</v>
      </c>
      <c r="H14" s="35" t="str">
        <f t="shared" si="2"/>
        <v>Mid-Level</v>
      </c>
      <c r="I14" s="35" t="str">
        <f t="shared" si="3"/>
        <v>Arjun</v>
      </c>
      <c r="J14" s="35" t="str">
        <f t="shared" si="4"/>
        <v>ARJUN RAO</v>
      </c>
      <c r="K14" s="35" t="str">
        <f t="shared" si="5"/>
        <v>arjun rao</v>
      </c>
      <c r="L14" s="36">
        <f t="shared" si="6"/>
        <v>6354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 x14ac:dyDescent="0.3">
      <c r="A15" s="29">
        <v>5014</v>
      </c>
      <c r="B15" s="30" t="s">
        <v>153</v>
      </c>
      <c r="C15" s="30" t="s">
        <v>112</v>
      </c>
      <c r="D15" s="31">
        <v>89760</v>
      </c>
      <c r="E15" s="32">
        <v>45239.694444444445</v>
      </c>
      <c r="F15" s="33">
        <f t="shared" ca="1" si="0"/>
        <v>2.5</v>
      </c>
      <c r="G15" s="34">
        <f t="shared" si="1"/>
        <v>2023</v>
      </c>
      <c r="H15" s="35" t="str">
        <f t="shared" si="2"/>
        <v>Mid-Level</v>
      </c>
      <c r="I15" s="35" t="str">
        <f t="shared" si="3"/>
        <v>Pooja</v>
      </c>
      <c r="J15" s="35" t="str">
        <f t="shared" si="4"/>
        <v>POOJA CHAWLA</v>
      </c>
      <c r="K15" s="35" t="str">
        <f t="shared" si="5"/>
        <v>pooja chawla</v>
      </c>
      <c r="L15" s="36">
        <f t="shared" si="6"/>
        <v>8976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 x14ac:dyDescent="0.3">
      <c r="A16" s="29">
        <v>5015</v>
      </c>
      <c r="B16" s="30" t="s">
        <v>154</v>
      </c>
      <c r="C16" s="30" t="s">
        <v>114</v>
      </c>
      <c r="D16" s="31">
        <v>54330</v>
      </c>
      <c r="E16" s="32">
        <v>45428.423611111109</v>
      </c>
      <c r="F16" s="33">
        <f t="shared" ca="1" si="0"/>
        <v>2</v>
      </c>
      <c r="G16" s="34">
        <f t="shared" si="1"/>
        <v>2024</v>
      </c>
      <c r="H16" s="35" t="str">
        <f t="shared" si="2"/>
        <v>Junior</v>
      </c>
      <c r="I16" s="35" t="str">
        <f t="shared" si="3"/>
        <v>Dev</v>
      </c>
      <c r="J16" s="35" t="str">
        <f t="shared" si="4"/>
        <v>DEV KHANNA</v>
      </c>
      <c r="K16" s="35" t="str">
        <f t="shared" si="5"/>
        <v>dev khanna</v>
      </c>
      <c r="L16" s="36">
        <f t="shared" si="6"/>
        <v>5433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customHeight="1" x14ac:dyDescent="0.3">
      <c r="A17" s="29">
        <v>5016</v>
      </c>
      <c r="B17" s="30" t="s">
        <v>155</v>
      </c>
      <c r="C17" s="30" t="s">
        <v>113</v>
      </c>
      <c r="D17" s="31">
        <v>73920</v>
      </c>
      <c r="E17" s="32">
        <v>45649.767361111109</v>
      </c>
      <c r="F17" s="33">
        <f t="shared" ca="1" si="0"/>
        <v>1.4</v>
      </c>
      <c r="G17" s="34">
        <f t="shared" si="1"/>
        <v>2024</v>
      </c>
      <c r="H17" s="35" t="str">
        <f t="shared" si="2"/>
        <v>Mid-Level</v>
      </c>
      <c r="I17" s="35" t="str">
        <f t="shared" si="3"/>
        <v>Simran</v>
      </c>
      <c r="J17" s="35" t="str">
        <f t="shared" si="4"/>
        <v>SIMRAN GILL</v>
      </c>
      <c r="K17" s="35" t="str">
        <f t="shared" si="5"/>
        <v>simran gill</v>
      </c>
      <c r="L17" s="36">
        <f t="shared" si="6"/>
        <v>7392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customHeight="1" x14ac:dyDescent="0.3">
      <c r="A18" s="29">
        <v>5017</v>
      </c>
      <c r="B18" s="30" t="s">
        <v>156</v>
      </c>
      <c r="C18" s="30" t="s">
        <v>112</v>
      </c>
      <c r="D18" s="31">
        <v>121450</v>
      </c>
      <c r="E18" s="32">
        <v>45839.40625</v>
      </c>
      <c r="F18" s="33">
        <f t="shared" ca="1" si="0"/>
        <v>0.9</v>
      </c>
      <c r="G18" s="34">
        <f t="shared" si="1"/>
        <v>2025</v>
      </c>
      <c r="H18" s="35" t="str">
        <f t="shared" si="2"/>
        <v>Senior</v>
      </c>
      <c r="I18" s="35" t="str">
        <f t="shared" si="3"/>
        <v>Yash</v>
      </c>
      <c r="J18" s="35" t="str">
        <f t="shared" si="4"/>
        <v>YASH TIWARI</v>
      </c>
      <c r="K18" s="35" t="str">
        <f t="shared" si="5"/>
        <v>yash tiwari</v>
      </c>
      <c r="L18" s="36">
        <f t="shared" si="6"/>
        <v>12145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customHeight="1" x14ac:dyDescent="0.3">
      <c r="A19" s="29">
        <v>5018</v>
      </c>
      <c r="B19" s="30" t="s">
        <v>157</v>
      </c>
      <c r="C19" s="30" t="s">
        <v>115</v>
      </c>
      <c r="D19" s="31">
        <v>69880</v>
      </c>
      <c r="E19" s="32">
        <v>46060.607638888891</v>
      </c>
      <c r="F19" s="33">
        <f t="shared" ca="1" si="0"/>
        <v>0.3</v>
      </c>
      <c r="G19" s="34">
        <f t="shared" si="1"/>
        <v>2026</v>
      </c>
      <c r="H19" s="35" t="str">
        <f t="shared" si="2"/>
        <v>Mid-Level</v>
      </c>
      <c r="I19" s="35" t="str">
        <f t="shared" si="3"/>
        <v>Ritika</v>
      </c>
      <c r="J19" s="35" t="str">
        <f t="shared" si="4"/>
        <v>RITIKA SONI</v>
      </c>
      <c r="K19" s="35" t="str">
        <f t="shared" si="5"/>
        <v>ritika soni</v>
      </c>
      <c r="L19" s="36">
        <f t="shared" si="6"/>
        <v>6988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customHeight="1" x14ac:dyDescent="0.3">
      <c r="A20" s="29">
        <v>5019</v>
      </c>
      <c r="B20" s="30" t="s">
        <v>158</v>
      </c>
      <c r="C20" s="30" t="s">
        <v>114</v>
      </c>
      <c r="D20" s="31">
        <v>115200</v>
      </c>
      <c r="E20" s="32">
        <v>46310.513888888891</v>
      </c>
      <c r="F20" s="33">
        <f t="shared" ca="1" si="0"/>
        <v>-0.4</v>
      </c>
      <c r="G20" s="34">
        <f t="shared" si="1"/>
        <v>2026</v>
      </c>
      <c r="H20" s="35" t="str">
        <f t="shared" si="2"/>
        <v>Senior</v>
      </c>
      <c r="I20" s="35" t="str">
        <f t="shared" si="3"/>
        <v>Manav</v>
      </c>
      <c r="J20" s="35" t="str">
        <f t="shared" si="4"/>
        <v>MANAV BATRA</v>
      </c>
      <c r="K20" s="35" t="str">
        <f t="shared" si="5"/>
        <v>manav batra</v>
      </c>
      <c r="L20" s="36">
        <f t="shared" si="6"/>
        <v>11520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37">
        <v>5020</v>
      </c>
      <c r="B21" s="38" t="s">
        <v>159</v>
      </c>
      <c r="C21" s="38" t="s">
        <v>113</v>
      </c>
      <c r="D21" s="39">
        <v>92410</v>
      </c>
      <c r="E21" s="40">
        <v>46560.746527777781</v>
      </c>
      <c r="F21" s="41">
        <f t="shared" ca="1" si="0"/>
        <v>-1.1000000000000001</v>
      </c>
      <c r="G21" s="42">
        <f t="shared" si="1"/>
        <v>2027</v>
      </c>
      <c r="H21" s="43" t="str">
        <f t="shared" si="2"/>
        <v>Mid-Level</v>
      </c>
      <c r="I21" s="43" t="str">
        <f t="shared" si="3"/>
        <v>Ishita</v>
      </c>
      <c r="J21" s="43" t="str">
        <f t="shared" si="4"/>
        <v>ISHITA ARORA</v>
      </c>
      <c r="K21" s="43" t="str">
        <f t="shared" si="5"/>
        <v>ishita arora</v>
      </c>
      <c r="L21" s="44">
        <f t="shared" si="6"/>
        <v>9241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54" t="s">
        <v>116</v>
      </c>
      <c r="B24" s="5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23" t="s">
        <v>117</v>
      </c>
      <c r="B25" s="10">
        <f>SUM(D2:D21)</f>
        <v>1664850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9" t="s">
        <v>118</v>
      </c>
      <c r="B26" s="10">
        <f>AVERAGEIFS(D2:D21,C2:C21,"IT")</f>
        <v>96910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9" t="s">
        <v>119</v>
      </c>
      <c r="B27" s="10">
        <f>COUNTIFS(C2:C21,"Finance")</f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9" t="s">
        <v>120</v>
      </c>
      <c r="B28" s="10">
        <f>SUMIFS(D2:D21,C2:C21,"HR")</f>
        <v>341745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9" t="s">
        <v>121</v>
      </c>
      <c r="B29" s="10">
        <f>COUNTIFS(D2:D21,"&gt;100000")</f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9" t="s">
        <v>122</v>
      </c>
      <c r="B30" s="10">
        <f>MAX(D2:D21)</f>
        <v>121450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9" t="s">
        <v>123</v>
      </c>
      <c r="B31" s="10">
        <f>MIN(D2:D21)</f>
        <v>44980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50" t="s">
        <v>96</v>
      </c>
      <c r="B33" s="5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9" t="s">
        <v>124</v>
      </c>
      <c r="B34" s="11">
        <v>5012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9" t="s">
        <v>125</v>
      </c>
      <c r="B35" s="12" t="str">
        <f>IFERROR(_xlfn.XLOOKUP(B34,A2:A21,B2:B21,"Not Found"),"Not Found")</f>
        <v>Meera Iyer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9" t="s">
        <v>126</v>
      </c>
      <c r="B36" s="12" t="str">
        <f>IFERROR(INDEX(C2:C21,MATCH(B34,A2:A21,0)),"Not Found")</f>
        <v>IT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9" t="s">
        <v>127</v>
      </c>
      <c r="B37" s="10">
        <f>IFERROR(VLOOKUP(B34,A2:D21,4,FALSE()),"Not Found")</f>
        <v>118640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9" t="s">
        <v>100</v>
      </c>
      <c r="B38" s="12">
        <f>IFERROR(_xlfn.XMATCH(B34,A2:A21),"Not Found")</f>
        <v>12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2" t="s">
        <v>128</v>
      </c>
      <c r="B40" s="7" t="s">
        <v>129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2" t="s">
        <v>130</v>
      </c>
      <c r="B41" s="6">
        <f ca="1">INDIRECT(B40)</f>
        <v>67890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2" t="s">
        <v>131</v>
      </c>
      <c r="B43" s="6">
        <f ca="1">OFFSET(D2,4,0)</f>
        <v>108540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52" t="s">
        <v>132</v>
      </c>
      <c r="B45" s="5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9" t="s">
        <v>133</v>
      </c>
      <c r="B46" s="10">
        <f>ROUND(AVERAGE(D2:D21),-3)</f>
        <v>83000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9" t="s">
        <v>134</v>
      </c>
      <c r="B47" s="10">
        <f>CEILING(AVERAGE(D2:D21),5000)</f>
        <v>85000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9" t="s">
        <v>135</v>
      </c>
      <c r="B48" s="10">
        <f>FLOOR(AVERAGE(D2:D21),5000)</f>
        <v>80000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24:B31" xr:uid="{00000000-0001-0000-0300-000000000000}">
    <filterColumn colId="0" showButton="0"/>
  </autoFilter>
  <mergeCells count="3">
    <mergeCell ref="A33:B33"/>
    <mergeCell ref="A45:B45"/>
    <mergeCell ref="A24:B24"/>
  </mergeCells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Instructions</vt:lpstr>
      <vt:lpstr>Students Grade</vt:lpstr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Kote</cp:lastModifiedBy>
  <cp:revision>0</cp:revision>
  <dcterms:created xsi:type="dcterms:W3CDTF">2026-05-01T18:53:12Z</dcterms:created>
  <dcterms:modified xsi:type="dcterms:W3CDTF">2026-05-13T09:08:27Z</dcterms:modified>
  <dc:language>en-US</dc:language>
</cp:coreProperties>
</file>